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mari\Desktop\Observatorio Calp\observatorio_calp\data\"/>
    </mc:Choice>
  </mc:AlternateContent>
  <xr:revisionPtr revIDLastSave="0" documentId="13_ncr:1_{57E54697-B080-4C1B-B2B8-7CC63FE6A5E3}" xr6:coauthVersionLast="47" xr6:coauthVersionMax="47" xr10:uidLastSave="{00000000-0000-0000-0000-000000000000}"/>
  <bookViews>
    <workbookView xWindow="-108" yWindow="-108" windowWidth="23256" windowHeight="12456" xr2:uid="{A3E3E45F-D34A-4772-8FFC-37BF922E3DDC}"/>
  </bookViews>
  <sheets>
    <sheet name="Indicadores" sheetId="1" r:id="rId1"/>
    <sheet name="Turistas" sheetId="2" r:id="rId2"/>
    <sheet name="Alojamient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H3" i="3"/>
  <c r="H4" i="3"/>
  <c r="H5" i="3"/>
  <c r="H6" i="3"/>
  <c r="H7" i="3"/>
  <c r="H8" i="3"/>
  <c r="H9" i="3"/>
  <c r="G3" i="3" l="1"/>
  <c r="G4" i="3"/>
  <c r="G5" i="3"/>
  <c r="G6" i="3"/>
  <c r="G7" i="3"/>
  <c r="G8" i="3"/>
  <c r="G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tc={86248D9D-A426-4266-983B-342EA897A500}</author>
  </authors>
  <commentList>
    <comment ref="M30" authorId="0" shapeId="0" xr:uid="{86248D9D-A426-4266-983B-342EA897A500}">
      <text>
        <t>[Comentario encadenado]
Su versión de Excel le permite leer este comentario encadenado; sin embargo, las ediciones que se apliquen se quitarán si el archivo se abre en una versión más reciente de Excel. Más información: https://go.microsoft.com/fwlink/?linkid=870924
Comentario:
    Preguntar a Paula si tenim este dato</t>
      </text>
    </comment>
  </commentList>
</comments>
</file>

<file path=xl/sharedStrings.xml><?xml version="1.0" encoding="utf-8"?>
<sst xmlns="http://schemas.openxmlformats.org/spreadsheetml/2006/main" count="668" uniqueCount="340">
  <si>
    <t>Año</t>
  </si>
  <si>
    <t>Ámbito</t>
  </si>
  <si>
    <t>Indicador</t>
  </si>
  <si>
    <t>Fuente</t>
  </si>
  <si>
    <t>Tiempo</t>
  </si>
  <si>
    <t>Unidad</t>
  </si>
  <si>
    <t>Método de cálculo</t>
  </si>
  <si>
    <t>Valor</t>
  </si>
  <si>
    <t>Gobernanza</t>
  </si>
  <si>
    <t>Número y tipo de designación con las que se reconocen las estructuras, monumentos o distritos históricos</t>
  </si>
  <si>
    <t>Comisión interdepartamental</t>
  </si>
  <si>
    <t>Anual</t>
  </si>
  <si>
    <t>%</t>
  </si>
  <si>
    <t>Descripción</t>
  </si>
  <si>
    <t>Nº total de designaciones oficiales existentes.
Nº de designaciones por tipo.
% de bienes protegidos frente al total de bienes históricos existentes en el municipio.</t>
  </si>
  <si>
    <t>Número y tipo de nueva legislación y enmiendas introducidas para preservar estructuras, monumentos y distritos históricos a nivel local, provincial o estatal.</t>
  </si>
  <si>
    <t>Recuento de leyes, decretos, reglamentos, ordenanzas municipales o enmiendas dirigidas a la preservación de estructuras, monumentos y distritos históricos aplicables en Calp.</t>
  </si>
  <si>
    <t>Nº</t>
  </si>
  <si>
    <t>Gestión de residuos</t>
  </si>
  <si>
    <t>AT</t>
  </si>
  <si>
    <t>Obligatoria</t>
  </si>
  <si>
    <t>Satisfacción local</t>
  </si>
  <si>
    <t>Beneficios económicos</t>
  </si>
  <si>
    <t>Estacionalidad turística</t>
  </si>
  <si>
    <t>Gestión energética</t>
  </si>
  <si>
    <t>Gestión del agua</t>
  </si>
  <si>
    <t>Acción por el clima</t>
  </si>
  <si>
    <t>Accesibilidad</t>
  </si>
  <si>
    <t>Adicionales</t>
  </si>
  <si>
    <t>Satisfacción turística</t>
  </si>
  <si>
    <t>Impacto social / comunitario</t>
  </si>
  <si>
    <t>Seguridad y salud</t>
  </si>
  <si>
    <t>Reducción del impacto generado por el transporte</t>
  </si>
  <si>
    <t>Eventos sostenibles</t>
  </si>
  <si>
    <t>Protección del paisaje y biodiversidad</t>
  </si>
  <si>
    <t>Educación y formación sostenible</t>
  </si>
  <si>
    <t>ETIS</t>
  </si>
  <si>
    <t>Generación de residuos por cada pernoctación de un turista en comparación con la generación de residuos por persona de la población general (kilogramos)</t>
  </si>
  <si>
    <t>Empresas de residuos</t>
  </si>
  <si>
    <t>Organismo</t>
  </si>
  <si>
    <t>Informes sobre residuos y reciclaje, estadísticas de vertederos</t>
  </si>
  <si>
    <t>Kg</t>
  </si>
  <si>
    <t>Porcentaje del total de residuos reciclados por turista en comparación con el volumen total de residuos reciclados por habitante al año</t>
  </si>
  <si>
    <t>Tn</t>
  </si>
  <si>
    <t>Volumen de residuos producidos por los residentes al mes ÷ número total de pernoctaciones de turistas residentes = Residuos por pernoctación de turista residente al mes</t>
  </si>
  <si>
    <t>Volumen de residuos producidos por los turistas al mes ÷ número total de pernoctaciones de turistas residentes = Residuos por pernoctación de turista residente al mes</t>
  </si>
  <si>
    <t>Volumen total de residuos reciclados por turista por año ÷ Volumen total de residuos reciclados por residente por año*100 = porcentaje de residuos reciclados por turista por año</t>
  </si>
  <si>
    <r>
      <t>D.3.1</t>
    </r>
    <r>
      <rPr>
        <b/>
        <sz val="11"/>
        <color rgb="FFFF0000"/>
        <rFont val="Montserrat"/>
      </rPr>
      <t>.2</t>
    </r>
  </si>
  <si>
    <r>
      <t>D.3.1</t>
    </r>
    <r>
      <rPr>
        <b/>
        <sz val="11"/>
        <color rgb="FFFF0000"/>
        <rFont val="Montserrat"/>
      </rPr>
      <t>.1</t>
    </r>
  </si>
  <si>
    <t>Volumen total de materiales reciclados por año ÷ número total de residentes = Volumen total reciclado por residente por año</t>
  </si>
  <si>
    <t>Cantidades totales de materiales reciclados al año
Número total de residentes</t>
  </si>
  <si>
    <t>Cantidades totales de materiales reciclados al año
Número total de turistas por año</t>
  </si>
  <si>
    <t>Cantidades de residuos reciclados por turista al año (indicador D.3.3.2)
Cantidades de residuos recicladas por residentes al año (indicador D.3.3.1)</t>
  </si>
  <si>
    <t xml:space="preserve">Estimado a partir de Acciona Ayuntamiento de Calp Servicios Técnicosy Mabrian 2024. Se ha efectuado una regresión sin constante y los valores se obtienen de los coeficientes estimados. Es por tanto, el resíduo generado por 1 turista o residente adicional, céteris paribus. El % estimado por turistas se estima al valor previsto de la regresión a la media de residentes y turistas del período. </t>
  </si>
  <si>
    <t xml:space="preserve">Estimado a partir de Acciona Ayuntamiento de Calp Servicios Técnicosy Mabrian 2024. Se ha efectuado una regresión sin con constante y los valores se obtienen de los coeficientes estimados. Es por tanto, el resíduo generado por 1 turista o residente adicional, céteris paribus </t>
  </si>
  <si>
    <t>A.1.1</t>
  </si>
  <si>
    <t>Lista de empresas certificadas/etiquetadas, lista de todas las empresas de turismo registradas</t>
  </si>
  <si>
    <t>Empresas turísticas</t>
  </si>
  <si>
    <t>Porcentaje de empresas o establecimientos turísticos en el lugar de destino que utilizan una certificación voluntaria/etiquetado de medio ambiente/calidad/ sostenibilidad o responsabilidad social de las empresas</t>
  </si>
  <si>
    <t>Número total de empresas certificadas ÷ número total de empresas de turismo * 100</t>
  </si>
  <si>
    <t>Nº empresas certificadas
Nº total de empresas destinadas al sector turístico</t>
  </si>
  <si>
    <t>3 empresas certificadas en S, EMAS; 261 actividades de hostelería y transporte</t>
  </si>
  <si>
    <t>B.1.1</t>
  </si>
  <si>
    <t>Número de pernoctaciones turísticas por mes</t>
  </si>
  <si>
    <t>Departamento de turismo</t>
  </si>
  <si>
    <t>Tasa de ocupación</t>
  </si>
  <si>
    <t>Número total de pernoctaciones de turistas por año ÷ 12 = Número promedio de pernoctaciones de turistas por mes</t>
  </si>
  <si>
    <t>Ayuntamiento de Calp Mabrian 2024</t>
  </si>
  <si>
    <t>Número de pernoctaciones turísticas anual</t>
  </si>
  <si>
    <r>
      <t>B.1.1</t>
    </r>
    <r>
      <rPr>
        <b/>
        <sz val="11"/>
        <color rgb="FFFF0000"/>
        <rFont val="Montserrat"/>
      </rPr>
      <t>.1</t>
    </r>
  </si>
  <si>
    <t>Mensual</t>
  </si>
  <si>
    <t>Número total de pernoctaciones de turistas por año</t>
  </si>
  <si>
    <t>B.1.5</t>
  </si>
  <si>
    <t>B.2.1</t>
  </si>
  <si>
    <t>Nº noches</t>
  </si>
  <si>
    <t>Suma del total de noches por turista encuestado ÷ número total de encuestados = duración promedio de la estancia por turista</t>
  </si>
  <si>
    <t>Duración media de la estancia de los turistas (noches)</t>
  </si>
  <si>
    <t>4.813.511 pernoctaciones / 493.496 turistas</t>
  </si>
  <si>
    <t>Ayuntamiento de Calp Mabrian 2024 y Estadísticas experimentales INE
o
Encuesta de satisfacción turística</t>
  </si>
  <si>
    <t>Nº total de noches de los turistas encuestados
Nº total de encuestados
o
Nº de pernoctaciones totales 
Nº de turístas anuales</t>
  </si>
  <si>
    <t>B.3.1</t>
  </si>
  <si>
    <t>Empleo directo del sector turístico como porcentaje del empleo total del destino</t>
  </si>
  <si>
    <t>Ayuntamiento de Calp</t>
  </si>
  <si>
    <t>Informes de datos y análisis turísticos</t>
  </si>
  <si>
    <t>Número total de residentes empleados directamente por el turismo ÷ tamaño total de la fuerza laboral del destino * 100 = % de residentes locales empleados directamente por el turismo</t>
  </si>
  <si>
    <t>Diciembre 2024 Trabajadores turismo 2.782. Total trabajadores 7.954 
https://www.seg-social.es/wps/portal/wss/internet/EstadisticasPresupuestosEstudios/Estadisticas/EST8/EST10/EST305/c43ad8ea-fe79-4329-ac8e-e5758f3c4d7a/f83fe4aa-2dee-49c5-8317-98d105813796</t>
  </si>
  <si>
    <t>C.1.1</t>
  </si>
  <si>
    <t>Número de turistas o visitantes por 100 habitantes</t>
  </si>
  <si>
    <t>Nº turistas</t>
  </si>
  <si>
    <t>Número total de turistas* Duración media de la estancia/total de residentes*365/100</t>
  </si>
  <si>
    <t>INE Cifras Oficiales de Población</t>
  </si>
  <si>
    <t>Pernoctaciones 4813511.Población Calp en 2024 26.821</t>
  </si>
  <si>
    <t>Agencia de Turismo</t>
  </si>
  <si>
    <t>Datos requeridos</t>
  </si>
  <si>
    <t>Número total de mujeres empleadas en turismo ÷ número total de empleados en turismo * 100 = % de mujeres empleadas en turismo</t>
  </si>
  <si>
    <t>Porcentaje de mujeres empleados en el sector del turismo</t>
  </si>
  <si>
    <t>Porcentaje de hombres empleados en el sector del turismo</t>
  </si>
  <si>
    <t>Número total de hombres empleadas en turismo ÷ número total de empleados en turismo * 100 = % de hombres empleadas en turismo</t>
  </si>
  <si>
    <t>Diciembre 2024 Hombres turismo 1328; Total hombres empleados 4074
https://www.seg-social.es/wps/portal/wss/internet/EstadisticasPresupuestosEstudios/Estadisticas/EST8/EST10/EST305/c43ad8ea-fe79-4329-ac8e-e5758f3c4d7a/f83fe4aa-2dee-49c5-8317-98d105813796</t>
  </si>
  <si>
    <t>Diciembre 2024 Mujeres turismo 1461; Total mujeres empleadas 3800
https://www.seg-social.es/wps/portal/wss/internet/EstadisticasPresupuestosEstudios/Estadisticas/EST8/EST10/EST305/c43ad8ea-fe79-4329-ac8e-e5758f3c4d7a/f83fe4aa-2dee-49c5-8317-98d105813796</t>
  </si>
  <si>
    <r>
      <t>C.3.1</t>
    </r>
    <r>
      <rPr>
        <b/>
        <sz val="11"/>
        <color rgb="FFFF0000"/>
        <rFont val="Montserrat"/>
      </rPr>
      <t>.1</t>
    </r>
  </si>
  <si>
    <r>
      <t>C.3.1</t>
    </r>
    <r>
      <rPr>
        <b/>
        <sz val="11"/>
        <color rgb="FFFF0000"/>
        <rFont val="Montserrat"/>
      </rPr>
      <t>.2</t>
    </r>
  </si>
  <si>
    <t>C.4.1</t>
  </si>
  <si>
    <t>Porcentaje de habitaciones en establecimientos de alojamiento comercial accesibles para las personas con discapacidad</t>
  </si>
  <si>
    <t>Empresas hosteleras</t>
  </si>
  <si>
    <t>Informes sobre accesibilidad en alojamientos comerciales</t>
  </si>
  <si>
    <t>Informes seguridad social mensual. Total Afiliados por Régimen, CNAE2D y Sexo</t>
  </si>
  <si>
    <t>Número total de alojamientos comerciales con habitaciones accesibles para personas con discapacidad y/o que participan en programas de información reconocidos ÷ número total de alojamientos comerciales * 100 = % de alojamientos comerciales con habitaciones accesibles para personas con discapacidad</t>
  </si>
  <si>
    <t>Nº total de alojamientos comerciales con habitaciones accesibles para personas con discapacidad y/o que participan en programas de información reconocidos</t>
  </si>
  <si>
    <t>Nº de empleados en el sector turístico
Nº de hombres empleados en el sector</t>
  </si>
  <si>
    <t>Nº de empleados en el sector turístico
Nº de mujeres empleados en el sector</t>
  </si>
  <si>
    <t>Nº de turistas</t>
  </si>
  <si>
    <t>Nº total de pernoctaciones de turistas residentes
Volumen de residuos producidos por los residentes al mes</t>
  </si>
  <si>
    <t>Nº total de pernoctaciones de turistas residentes
Volumen de residuos producidos por los turistas al mes</t>
  </si>
  <si>
    <t>Nº de visitantes, turistas y pernocaciones anual</t>
  </si>
  <si>
    <t>Nº de visitantes, turistas y pernocaaciones anual (B.1.1.1)</t>
  </si>
  <si>
    <t>Nº de leyes, decretos, reglamentos, ordenanzas municipales o enmiendas dirigidas a la preservación de estructuras, monumentos y distritos históricos aplicables en Calp.</t>
  </si>
  <si>
    <t>Nº de estructuras reconocidas como:
-Monumento Nacional.
-Patrimonio de la Humanidad (UNESCO).
-Bien de Interés Cultural (BIC) a nivel regional o nacional.
-Zona Histórica Protegida / Distrito Patrimonial.
-Catalogación local (protección municipal o provincial).
-Certificaciones o sellos de organizaciones de patrimonio reconocidas.</t>
  </si>
  <si>
    <t>Diagnóstico Plan Estatégico de Turismo Accesible: Campings y autocaravanas 6 de 6; Hoteles 11 de 12; Albergues 2 de 2; Hostales 2 de 6; Pensiones 0 de 4</t>
  </si>
  <si>
    <t>D.1.3</t>
  </si>
  <si>
    <t>Informes de transporte
Encuesta a los turístas</t>
  </si>
  <si>
    <t>Número total de turistas y visitantes de un solo día encuestados que utilizan diferentes modos de transporte para llegar al destino ÷ número total de turistas y visitantes de un solo día encuestados * 100 = % de turistas y visitantes que utilizan diferentes modos de transporte para llegar al destino
Cálculo para cada modo de transporte</t>
  </si>
  <si>
    <t>Km</t>
  </si>
  <si>
    <t>-</t>
  </si>
  <si>
    <r>
      <t>D.1.3</t>
    </r>
    <r>
      <rPr>
        <b/>
        <sz val="11"/>
        <color rgb="FFFF0000"/>
        <rFont val="Montserrat"/>
      </rPr>
      <t>.2</t>
    </r>
  </si>
  <si>
    <r>
      <t>D.1.3</t>
    </r>
    <r>
      <rPr>
        <b/>
        <sz val="11"/>
        <color rgb="FFFF0000"/>
        <rFont val="Montserrat"/>
      </rPr>
      <t>.1</t>
    </r>
  </si>
  <si>
    <t>Distancia media (kilómetros) recorrida por los turistas y visitantes extranjeros de un día, desde su domicilio hasta el destino</t>
  </si>
  <si>
    <t>Distancia media (kilómetros) recorrida por los turistas y visitantes nacionales de un día, desde su domicilio hasta el destino</t>
  </si>
  <si>
    <t>Suma total de kilómetros recorridos por turistas y/o visitantes extranjeros del día que viajan desde casa ÷ número total de turistas y/o visitantes extranjeros del día = Promedio de kilómetros recorridos por turistas y visitantes extranjeros del día</t>
  </si>
  <si>
    <t>Suma total de kilómetros recorridos por turistas y/o visitantes nacionales del día que viajan desde casa ÷ número total de turistas y/o visitantes nacionales del día = Promedio de kilómetros recorridos por turistas y visitantes nacionales del día</t>
  </si>
  <si>
    <t xml:space="preserve"> Km recorridos por turistas y/o visitantes extranjeros hasta llegar al destino.
Nº total de turistas y/o visitantes extranjeros del día</t>
  </si>
  <si>
    <t xml:space="preserve"> Km recorridos por turistas y/o visitantes nacionales hasta llegar al destino.
Nº total de turistas y/o visitantes extranjeros del día</t>
  </si>
  <si>
    <t>Distancia media total (kilómetros) recorrida por los turistas y visitantes extranjeros y nacionales, desde su domicilio hasta el destino</t>
  </si>
  <si>
    <t>Suma total de kilómetros recorridos por turistas y/o visitantes extranjeros que viajan desde casa (D.1.3.1) + Suma total de kilómetros recorridos por turistas y/o visitantes nacionales que viajan desde casa (D.1.3.2)</t>
  </si>
  <si>
    <t>INE encuestas experimentales.</t>
  </si>
  <si>
    <t>INE encuestas experimentales.
Promedio Enero y Agosto x 12</t>
  </si>
  <si>
    <t>D.3.3</t>
  </si>
  <si>
    <r>
      <t>D.3.3</t>
    </r>
    <r>
      <rPr>
        <b/>
        <sz val="11"/>
        <color rgb="FFFF0000"/>
        <rFont val="Montserrat"/>
      </rPr>
      <t>.1</t>
    </r>
  </si>
  <si>
    <r>
      <t>D.3.3</t>
    </r>
    <r>
      <rPr>
        <b/>
        <sz val="11"/>
        <color rgb="FFFF0000"/>
        <rFont val="Montserrat"/>
      </rPr>
      <t>.2</t>
    </r>
  </si>
  <si>
    <t>D.4.1</t>
  </si>
  <si>
    <t>Porcentaje de aguas residuales del propio destino tratadas para al menos un nivel secundario antes del vertido</t>
  </si>
  <si>
    <t>Empresa aguas de Calpe</t>
  </si>
  <si>
    <t>Mapas de tratamiento y descarga de aguas residuales</t>
  </si>
  <si>
    <t>Cada 3 años</t>
  </si>
  <si>
    <t>Cantidad total de aguas residuales tratadas al menos a nivel secundario antes de su descarga ÷ cantidad total de aguas residuales * 100 = % de aguas residuales tratadas al menos a nivel secundario antes de su descarga</t>
  </si>
  <si>
    <t xml:space="preserve">Aguas de Calp    </t>
  </si>
  <si>
    <r>
      <t>D.5.1</t>
    </r>
    <r>
      <rPr>
        <b/>
        <sz val="11"/>
        <color rgb="FFFF0000"/>
        <rFont val="Montserrat"/>
      </rPr>
      <t>.3</t>
    </r>
  </si>
  <si>
    <r>
      <t>D.5.1</t>
    </r>
    <r>
      <rPr>
        <b/>
        <sz val="11"/>
        <color rgb="FFFF0000"/>
        <rFont val="Montserrat"/>
      </rPr>
      <t>.2</t>
    </r>
  </si>
  <si>
    <r>
      <t>D.5.1</t>
    </r>
    <r>
      <rPr>
        <b/>
        <sz val="11"/>
        <color rgb="FFFF0000"/>
        <rFont val="Montserrat"/>
      </rPr>
      <t>.1</t>
    </r>
  </si>
  <si>
    <t>Consumo de agua por cada pernoctación de un turista en comparación con el consumo de agua por cada noche de un residente</t>
  </si>
  <si>
    <t>Informes de uso de agua, servicios públicos mensuales, pernoctaciones turísticas anuales, población</t>
  </si>
  <si>
    <t>Consumo total de agua dulce relacionado con turistas internacionales (por año o por mes) ÷ número total de pernoctaciones de turistas (por año o por mes) = consumo de agua dulce por noche de turista</t>
  </si>
  <si>
    <t>Consumo total de agua dulce relacionado con turistas nacionales (por año o por mes) ÷ número total de pernoctaciones de turistas (por año o por mes) = consumo de agua dulce por noche de turista</t>
  </si>
  <si>
    <t>Consumo total de agua dulce relacionado con la población general (por año o por mes) ÷ número total de residentes = consumo de agua dulce por residente (por año o por mes)</t>
  </si>
  <si>
    <r>
      <t>m</t>
    </r>
    <r>
      <rPr>
        <vertAlign val="superscript"/>
        <sz val="11"/>
        <color theme="1"/>
        <rFont val="Montserrat"/>
      </rPr>
      <t>3</t>
    </r>
  </si>
  <si>
    <t>Se ha efectuado una regresión sin con constante y los valores se obtienen de los coeficientes estimados. Es por tanto, el consumo de 1 turista o residente adicional, céteris paribus</t>
  </si>
  <si>
    <t>Consumo total de agua dulce
Nº total de residentes</t>
  </si>
  <si>
    <t>Consumo total de agua dulce
Nº total de turistas internacionales</t>
  </si>
  <si>
    <t>Consumo total de agua dulce
Nº total de turistas nacionales</t>
  </si>
  <si>
    <t>Número total de residentes con una visión positiva del impacto del turismo ÷ número total de residentes que respondieron * 100 = % de residentes con una visión positiva del impacto del turismo en la identidad del destino.</t>
  </si>
  <si>
    <t>Número total de residentes encuestados con una visión negativa del impacto del turismo ÷ número total de residentes encuestados * 100 = % de residentes con una visión negativa del impacto del turismo en la identidad del destino.</t>
  </si>
  <si>
    <t>Nº total de residentes con una visión positiva del impacto del turismo.
Nº total de residentes que respondieron a la encuesta</t>
  </si>
  <si>
    <t>Nº total de residentes con una visión negativa del impacto del turismo.
Nº total de residentes que respondieron a la encuesta</t>
  </si>
  <si>
    <t>Comentarios</t>
  </si>
  <si>
    <t xml:space="preserve">Grado de satisfacción de los turístas respecto al destino. La puntuación sobre la satisfacción es de 1 a 5. Por lo que se tomará como una respuesta positiva, y por tanto, de satisfacción las respuestas comprendidas entre 4 y 5. </t>
  </si>
  <si>
    <t xml:space="preserve">Grado de satisfacción de los turístas respecto al destino. La puntuación sobre la satisfacción es de 1 a 5. Por lo que se tomará como una respuesta negativa,  las respuestas comprendidas entre 1 y 3. </t>
  </si>
  <si>
    <t>Encuestas de percepción turísctica sobre el destino</t>
  </si>
  <si>
    <t>Número total de visitantes que respondieron como satisfechos con la experiencia general ÷ número total de visitantes encuestados * 100 = % de visitantes satisfechos con la experiencia general</t>
  </si>
  <si>
    <t>Número total de visitantes que respondieron como insatisfechos con la experiencia general ÷ número total de visitantes encuestados * 100 = % de visitantes satisfechos con la experiencia general</t>
  </si>
  <si>
    <t>Nº total de turistas con una visión positiva de su estancia en el destino.
Nº total de turistas que respondieron a la encuesta</t>
  </si>
  <si>
    <t>Nº total de turistas con una visión negativa de su estancia en el destino.
Nº total de turistas que respondieron a la encuesta</t>
  </si>
  <si>
    <t xml:space="preserve">El total de encuestas por parte de los turistas fue de 95, y las respuestas positivas de 78. </t>
  </si>
  <si>
    <t xml:space="preserve">El total de encuestas por parte de los turistas fue de 95, y las respuestas negativas de 17. </t>
  </si>
  <si>
    <t>Gasto diario de los visitantes que realizan visitas de un día de duración</t>
  </si>
  <si>
    <t>EGATTUR, de la página web de la Red DTI CV</t>
  </si>
  <si>
    <t>€</t>
  </si>
  <si>
    <t>Gasto diario total por visitante de un día de los encuestados ÷ número total de encuestados = Gasto diario promedio por visitante de un día 
Gasto anual total por visitante de un día  ÷ número total de visitantes de un solo día al año ÷ 365 = Gasto diario promedio por visitante de un solo día
Ver anotación de la columna Comentarios</t>
  </si>
  <si>
    <t xml:space="preserve">La cifra de 120,8€ es de EGATTUR, de la página web de la RED DTI. </t>
  </si>
  <si>
    <t>Gasto anual total por visitante de un día
 Nº total de visitantes de un solo día al año</t>
  </si>
  <si>
    <t>B.4.1</t>
  </si>
  <si>
    <t>Porcentaje de alimentos, bebidas, productos y servicios de producción local adquiridos por las empresas turísticas del destino</t>
  </si>
  <si>
    <t>Agentes privados</t>
  </si>
  <si>
    <t>Encuestas a los agenetes turísticos</t>
  </si>
  <si>
    <t>Porcentaje de alimentos, bebidas y servicios adquiridos por las empresas de destino que se producen localmente</t>
  </si>
  <si>
    <t>% de alimentos adquiridos producidos localmente
% de bebidas adquiridas producidas localmente
% de servicios locales contratados</t>
  </si>
  <si>
    <t xml:space="preserve">En la encuesta de 2024, únicamente se registran 11 respuestas de los agentes turísticos, de los cuales, únicamente 3 contestan esta pregunta. El promedio es de 11,7% </t>
  </si>
  <si>
    <t>Actas de reuniones comunitarias, y encuestas a residentes</t>
  </si>
  <si>
    <r>
      <t>C.5.1</t>
    </r>
    <r>
      <rPr>
        <b/>
        <sz val="11"/>
        <color rgb="FFFF0000"/>
        <rFont val="Montserrat"/>
      </rPr>
      <t>.2</t>
    </r>
  </si>
  <si>
    <r>
      <t>C.5.1</t>
    </r>
    <r>
      <rPr>
        <b/>
        <sz val="11"/>
        <color rgb="FFFF0000"/>
        <rFont val="Montserrat"/>
      </rPr>
      <t>.1</t>
    </r>
  </si>
  <si>
    <t xml:space="preserve">Porcentaje de residentes que NO están satisfechos con la repercusión que tiene el turismo en la identidad del destino. La puntuación sobre la satisfacción es de 1 a 5. Por lo que se tomará como una respuesta negativas, las respuestas comprendidas entre 1 y 3. </t>
  </si>
  <si>
    <t xml:space="preserve">Porcentaje de residentes que están satisfechos con la repercusión que tiene el turismo en la identidad del destino.  La puntuación sobre la satisfacción es de 1 a 5. Por lo que se tomará como una respuesta positiva, y por tanto, de satisfacción las respuestas comprendidas entre 4 y 5. </t>
  </si>
  <si>
    <t>D.7.1</t>
  </si>
  <si>
    <t>Número total de empresas turísticas que apoyan activamente la protección, conservación y gestión local ÷ número total de empresas turísticas * 100 = % de empresas turísticas que apoyan activamente la protección, conservación y gestión local</t>
  </si>
  <si>
    <t>Porcentaje de empresas turísticas que apoyan activamente la protección, conservación y gestión local</t>
  </si>
  <si>
    <t>ETIS - Protección de la biodiversidad y del paisaje</t>
  </si>
  <si>
    <t>ETIS - Impacto generado por el transporte</t>
  </si>
  <si>
    <t>ETIS - Inclusión y accesibilidad</t>
  </si>
  <si>
    <t>ETIS - Igualdad de género</t>
  </si>
  <si>
    <t>ETIS - Satisfacción del turista respecto al destino</t>
  </si>
  <si>
    <t>ETIS - Residuos reciclados por turistas especto al total</t>
  </si>
  <si>
    <t>ETIS - Generación de residuos residentes</t>
  </si>
  <si>
    <t>ETIS - Generación de residuos turistas</t>
  </si>
  <si>
    <t>ETIS - Consumo de agua</t>
  </si>
  <si>
    <t>ETIS - Depuración de aguas residuales</t>
  </si>
  <si>
    <t>ETIS - Cadena de suministro del sector turístico</t>
  </si>
  <si>
    <t>ETIS - Cantidad y calidad del empleo</t>
  </si>
  <si>
    <t>ETIS - Rendimiento de las empresas turístico</t>
  </si>
  <si>
    <t>ETIS - Flujo turístico en el destino</t>
  </si>
  <si>
    <t>ETIS - Protección y valorización del patrimonio cultural, la identidad y los activos</t>
  </si>
  <si>
    <t>ETIS - Política pública de turismo sostenible</t>
  </si>
  <si>
    <t>Nº de empresas turísticas que apoyan activamente la protección, conservación y gestión de la biodiversidad y paisaje, ya sea mediante difusión en redes sociales, políticas o normativas internas, etc.
Nº total de empresas turísticas</t>
  </si>
  <si>
    <t>En la encuesta se registran 23 respuestas positivas (valores de 4 y 5 de puntuación) de las 44 respuestas al cuestionario</t>
  </si>
  <si>
    <t>En la encuesta se registran 21 respuestas positivas (valores de 1, 2 y 3 de puntuación) de las 44 respuestas al cuestionario</t>
  </si>
  <si>
    <t>WTO - Designaciones oficiales existentes</t>
  </si>
  <si>
    <t>WTO - Legislación en materia de preservación de estructuras, monumentos y distritos históricos</t>
  </si>
  <si>
    <t>Rendimiento empresarial turístico</t>
  </si>
  <si>
    <t>Cadena de suministros</t>
  </si>
  <si>
    <t>ETIS - Impacto social/comunitario</t>
  </si>
  <si>
    <r>
      <t>D.1.1</t>
    </r>
    <r>
      <rPr>
        <b/>
        <sz val="11"/>
        <color rgb="FFFF0000"/>
        <rFont val="Montserrat"/>
      </rPr>
      <t>.1</t>
    </r>
  </si>
  <si>
    <r>
      <t>D.1.1</t>
    </r>
    <r>
      <rPr>
        <b/>
        <sz val="11"/>
        <color rgb="FFFF0000"/>
        <rFont val="Montserrat"/>
      </rPr>
      <t>.2</t>
    </r>
  </si>
  <si>
    <t>Nº total de turistas y visitantes de un solo día encuestados que han utilizado transporte privado para llegar al destino
Nº total de turistas y visitantes de un solo día encuestados</t>
  </si>
  <si>
    <t>Nº total de turistas y visitantes de un solo día encuestados que han utilizado  transporte colectivo para llegar al destino
Nº total de turistas y visitantes de un solo día encuestados</t>
  </si>
  <si>
    <t>Porcentaje de turistas y visitantes de un día que utilizan transporte colectivo para llegar a su destino</t>
  </si>
  <si>
    <t>Porcentaje de turistas y visitantes de un día que utilizan transporte privado para llegar a su destino</t>
  </si>
  <si>
    <t xml:space="preserve">Resultados provinentes de la encuesta a los turistas. Transporte privado contempla los vehículos. Transporte colectivo contempla: tren, bus, avión… </t>
  </si>
  <si>
    <t>D.2.1</t>
  </si>
  <si>
    <t>Porcentaje de empresas turísticasinvolucradas en esquemas de mitigación del cambio climático y acciones de adaptación</t>
  </si>
  <si>
    <t>ETIS - Salud y seguridad</t>
  </si>
  <si>
    <t>Número total de empresas turísticas involucradas en la mitigación y adaptación ÷ número total de empresas turísticas * 100 = % de empresas turísticas involucradas en esquemas de mitigación del cambio climático y acciones de adaptación</t>
  </si>
  <si>
    <t>Nº total de empresas turísticas involucradas en la conservación y gestión local
Nº  total de empresas turísticas en el municipio</t>
  </si>
  <si>
    <t xml:space="preserve">Únicamente se registran 11 encuestas, de las cuales únicamente en el caso de 2 de agentes realizan este tipo de medidas. </t>
  </si>
  <si>
    <t>Ayuntamiento</t>
  </si>
  <si>
    <t>Datadis</t>
  </si>
  <si>
    <t>DATADIS, de la pagina web https://datadis.es/home</t>
  </si>
  <si>
    <t>Consumo total de energía relacionado con la población general (por año o por mes) ÷ número total de residentes = consumo de energía fresca por residente (por año o por mes)
Consumo total de energía relacionado con el turismo (por año o por mes) ÷ número total de pernoctaciones de turistas (por año o por mes) = consumo de energía por pernoctación de turistas
Comparar</t>
  </si>
  <si>
    <t>kWh/hab año</t>
  </si>
  <si>
    <t>D.6.1</t>
  </si>
  <si>
    <t>Consumo energético por pernoctación de turistas</t>
  </si>
  <si>
    <t>ETIS - Consumo de energía</t>
  </si>
  <si>
    <t>Esta información se puede sacar si el Ayuntamiento se da de alta en la plataforma de DATADIS, y a partir de los datos de consumo total se puede extrapolar con las pernoctaciones para sacar el consumo energético de los turistas.</t>
  </si>
  <si>
    <t>Consumo total de energía en Calp
Nº total de residentes
Nº total de pernoctaciones de turistas</t>
  </si>
  <si>
    <t>WTO - Sostenibilidad</t>
  </si>
  <si>
    <t>Comisión interdepartamental y Consejo de Turismo</t>
  </si>
  <si>
    <t>Identificar canales y vías destinadas a la promoción del turísmo sostenible (redes sociales, canales de Youtube, páginas web, newsletter, plataformas de reservas online, Blogs, etc.)</t>
  </si>
  <si>
    <t>Tipo de vías/canales utilizados para promover el turismo sostenible.</t>
  </si>
  <si>
    <t>Número de vías/canales utilizados para promover el turismo sostenible.</t>
  </si>
  <si>
    <t>Canales y vías destinadas a la promoción del turísmo sostenible (redes sociales, canales de Youtube, páginas web, newsletter, plataformas de reservas online, Blogs, etc.)</t>
  </si>
  <si>
    <t>Tipo de vías/canales de comunicación utilizados para promover el turismo sostenible en Calp.</t>
  </si>
  <si>
    <t>Número de vías/canales de comunicación utilizados para promover el turismo sostenible en Calp.</t>
  </si>
  <si>
    <t>Diferenciar entre los tipos de canales</t>
  </si>
  <si>
    <t>Porcentaje de habitaciones del alojamiento accesibles para personas con discapacidad o movilidad reducida</t>
  </si>
  <si>
    <t>WTO - Accesibilidad</t>
  </si>
  <si>
    <t>Consejo de Turismo</t>
  </si>
  <si>
    <t>Número total de infraestructuras de los agentes turísticos accesibles para personas con discapacidad  ÷ Número total de respuestas en la encuesta de agentes turísticos = % de infraestructuras accesibles para personas con discapacidad</t>
  </si>
  <si>
    <t>Nº de agentes turísticos que cuentan con habitaciones o instalaciones accesibles
Nº total de respuestas al cuestionario</t>
  </si>
  <si>
    <t>Encuesta a los agentes turísticos</t>
  </si>
  <si>
    <t>Porcentaje de turistas conscientes de la importancia del sitio de conservación</t>
  </si>
  <si>
    <t>Número de turistas que son conscientes sobre la importancia de la conservación del medio natural ÷ Número total de respuestas al cuestionario = % de turistas que son conscientes sobre la importancia de la conservación del medio natural</t>
  </si>
  <si>
    <t>Nº de turistas conscientes sobre la importancia de la conservación del medio natural
Nº total de respuestas al cuestionario</t>
  </si>
  <si>
    <t>Incorporar una pregunta relacionada con este indicador para el próximo año</t>
  </si>
  <si>
    <r>
      <t>Extensión de las áreas naturales protegidas (km</t>
    </r>
    <r>
      <rPr>
        <vertAlign val="superscript"/>
        <sz val="11"/>
        <color theme="1"/>
        <rFont val="Montserrat"/>
      </rPr>
      <t>2</t>
    </r>
    <r>
      <rPr>
        <sz val="11"/>
        <color theme="1"/>
        <rFont val="Montserrat"/>
      </rPr>
      <t>)</t>
    </r>
  </si>
  <si>
    <t>WTO - Protección del medio ambiente</t>
  </si>
  <si>
    <r>
      <t>Km</t>
    </r>
    <r>
      <rPr>
        <vertAlign val="superscript"/>
        <sz val="11"/>
        <color theme="1"/>
        <rFont val="Montserrat"/>
      </rPr>
      <t>2</t>
    </r>
  </si>
  <si>
    <r>
      <t>Superficie total de las áreas protegidas (Km</t>
    </r>
    <r>
      <rPr>
        <vertAlign val="superscript"/>
        <sz val="11"/>
        <color theme="1"/>
        <rFont val="Montserrat"/>
      </rPr>
      <t>2</t>
    </r>
    <r>
      <rPr>
        <sz val="11"/>
        <color theme="1"/>
        <rFont val="Montserrat"/>
      </rPr>
      <t>).
Superficie protegido por nivel de protección (Km</t>
    </r>
    <r>
      <rPr>
        <vertAlign val="superscript"/>
        <sz val="11"/>
        <color theme="1"/>
        <rFont val="Montserrat"/>
      </rPr>
      <t>2</t>
    </r>
    <r>
      <rPr>
        <sz val="11"/>
        <color theme="1"/>
        <rFont val="Montserrat"/>
      </rPr>
      <t>).
% de superficie protegida por nivel de protección.</t>
    </r>
  </si>
  <si>
    <r>
      <t>Área protegida total = Km</t>
    </r>
    <r>
      <rPr>
        <vertAlign val="superscript"/>
        <sz val="11"/>
        <color theme="1"/>
        <rFont val="Montserrat"/>
      </rPr>
      <t>2</t>
    </r>
    <r>
      <rPr>
        <sz val="11"/>
        <color theme="1"/>
        <rFont val="Montserrat"/>
      </rPr>
      <t xml:space="preserve"> totales protegidos por nivel de protección según el nivel de protección definido por la UICV (Unión Internacional para la Conservación de la Naturaleza).
-I.a = Reserva natural estricta.
-I.b = Área silvestre.
-II = Parque nacional.
-III = Monumento natural.
-IV = Área de manejo de hábitat / espécie.
-V = Paisaje protegido.
-VI = Área protegida con uso sostenible.</t>
    </r>
  </si>
  <si>
    <t>Número de días en los que la playa estuvo cerrada debido a niveles de contaminación por agua que superan los límites legales o recomendados.</t>
  </si>
  <si>
    <t>Nº de veces (días) que se ha cerrado el baño por niveles de contaminación que superan los límites legales o recomendaciones durante el año.
Tipo de contaminación:
- Microbiológica.
- Química.
- Vertidos.
Fuente: Analíticas de agua Bandera Azul.</t>
  </si>
  <si>
    <t>Percepción turística de la calidad del agua del mar/playas.</t>
  </si>
  <si>
    <t>Nº de turistas satisfechos con la calidad del agua de la playa ÷ Número total de respuestas al cuestionario = % de satisfacción sobre la calidad de las playas/agua del mar</t>
  </si>
  <si>
    <t>Nº de turistas satisfechos con la calidad del agua de la playa.
Nº total de respuestas al cuestionario</t>
  </si>
  <si>
    <t>Cambios en la estacionalidad turística</t>
  </si>
  <si>
    <t>Mabrian</t>
  </si>
  <si>
    <t>Comparativa</t>
  </si>
  <si>
    <t>Desviación estándar de llegadas menusales ÷ Promedio mensual = Coeficiente de variación
Comparativa anual del Coeficiente de variación</t>
  </si>
  <si>
    <t>Nº de turistas por mes para varios años.
% de turistas que visitan el destino de junio a agosto respecto al resto del año.
Comparativa en la estacionalidad respecto a los años anteriores.</t>
  </si>
  <si>
    <t>Calcular a partir de los datos de Mabrian</t>
  </si>
  <si>
    <t>Nivel de daños ocasionados por eventos climáticos extremos en el sector turístico (inundación costera, ola de calor que provoca cierres de actividades turísticas, vertidos por tormenta, etc.).</t>
  </si>
  <si>
    <t>Frecuencia de eventos extremos climáticos.
Valor (€) de los daños ocasionados por eventos extremos climáticos en el sector turístico (facturas o presupuestos de reparaciones).
Promedio de eventos extremos en los últimos 5 años. Establecer umbrales tipo:
-Bajo: &lt; 3 eventos al año
-Medio: 3-4 eventos al año
-Alto: &gt; 5 eventos al año
Promedio de daños ocasionados por eventos extremos en los últimos 5 años. Establecer umbrales tipo:
-Bajo impacto: &lt; X €
-Medio impacto: X-X €
-Alto impacto: &gt;X €</t>
  </si>
  <si>
    <t>Frecuencia = Nº de eventos extremos al año o por temporada.
Daño medio anual = Coste total de la reparaciones (€) ÷ Nº de eventos ocurridos al año
Umbral de impacto = Comparación nº eventos extremos anual respecto al promedio de eventos en los últimos 5 años.
Umbral daños ocasionados = Comparación daños anual respecto al promedio de daños en los últimos 5 años.</t>
  </si>
  <si>
    <t>Se puede sacar varios subindicadores</t>
  </si>
  <si>
    <t>Porcentaje de material/documentos que estén a disposición de la lengua materna de los Stakeholders (partes interesadas)</t>
  </si>
  <si>
    <t>WTO - Bienes culturales</t>
  </si>
  <si>
    <t xml:space="preserve">Número de documentos en valenciano ÷ Número de documentos en castellano = % en lengua materna </t>
  </si>
  <si>
    <t>Nº total de veces que se ha cerrado el baño durante el año.
Nº de veces que se ha cerrado el baño según el tipo de contaminación detectada.
Número de veces que se ha cerrado el baño en la temporada de baño (verano) 
% de días cerrado = Número de días de cierre en temporada de baño ÷ Número de días totales que dura la temporada de baño x 100
Se pueden sacar varios subindicadores</t>
  </si>
  <si>
    <t>Nº de documentos o materiales disponibles en la lengua materna de las partes interesadas (valenciano).
Nº de documentos o materiales disponibles en castellano para las partes interesadas.</t>
  </si>
  <si>
    <t>% / Importe de fondos asignados anualmente a la restauración, prevención y mantenimiento de bienes culturales (diferenciando según las diferentes fuentes de financiación, com tarifas de entrada por visitante (tickets), tarifas de operadores turísticos, donaciones, fondos gubernamentales, fundaciones privadas, instituciones financieras y de desarrollo internacionales, OMG, etc.</t>
  </si>
  <si>
    <t>% de fondos destinados a la preservación y mantenimiento de bienes culturales.</t>
  </si>
  <si>
    <t>Identificar y separar los fondos según su origen:
-Tickets/entradas de visitantes.
-Tarifas de operadores turísticos (comisiones).
-Donaciones privadas.
-Fondos gubernamentales.
-Fundaciones privadas.
-ONG's</t>
  </si>
  <si>
    <t>id</t>
  </si>
  <si>
    <t>Enero</t>
  </si>
  <si>
    <t>Febrero</t>
  </si>
  <si>
    <t>Marzo</t>
  </si>
  <si>
    <t>Abril</t>
  </si>
  <si>
    <t>Mayo</t>
  </si>
  <si>
    <t>Junio</t>
  </si>
  <si>
    <t>Julio</t>
  </si>
  <si>
    <t>Agosto</t>
  </si>
  <si>
    <t>Septiembre</t>
  </si>
  <si>
    <t>Octubre</t>
  </si>
  <si>
    <t>Noviembre</t>
  </si>
  <si>
    <t>Diciembre</t>
  </si>
  <si>
    <t>Mes</t>
  </si>
  <si>
    <t>1. Total turistas</t>
  </si>
  <si>
    <t>Establecimientos</t>
  </si>
  <si>
    <t>Plazas</t>
  </si>
  <si>
    <t>Habitaciones</t>
  </si>
  <si>
    <t>Parcelas</t>
  </si>
  <si>
    <t>Hoteles</t>
  </si>
  <si>
    <t>Apartamentos</t>
  </si>
  <si>
    <t>Campings</t>
  </si>
  <si>
    <t>Casas rurales</t>
  </si>
  <si>
    <t>Albergues</t>
  </si>
  <si>
    <t>Pensiones</t>
  </si>
  <si>
    <t>Total alojamiento</t>
  </si>
  <si>
    <t>Hostales</t>
  </si>
  <si>
    <t>% alojamientos</t>
  </si>
  <si>
    <t>% plazas</t>
  </si>
  <si>
    <t>Número de restaurantes en Calp</t>
  </si>
  <si>
    <t>Número de agencias de viaje en Calp</t>
  </si>
  <si>
    <t>Número de empresas de turismo activo en Calp</t>
  </si>
  <si>
    <t>WTO - Desarrollo empresarial turístico</t>
  </si>
  <si>
    <t>Recuento de restaurantes en el municipio</t>
  </si>
  <si>
    <t>Recuento de agencias de viaje en el municipio</t>
  </si>
  <si>
    <t>Recuento de empresas de turismo activo</t>
  </si>
  <si>
    <t>Nº de restaurantes</t>
  </si>
  <si>
    <t>Nº de agencias de viaje</t>
  </si>
  <si>
    <t>Nº de empresas dedicadas al turismo activo</t>
  </si>
  <si>
    <t>Tipo</t>
  </si>
  <si>
    <t>Orden meses</t>
  </si>
  <si>
    <t>2. % Turistas nacionales que visitaron Calp</t>
  </si>
  <si>
    <t>2.% Turistas extranjeros que visitaron Calp</t>
  </si>
  <si>
    <t>1. Turistas nacionales que visitaron Calp</t>
  </si>
  <si>
    <t>1. Turistas extranjeros que visitaron Calp</t>
  </si>
  <si>
    <r>
      <t>A.2.1</t>
    </r>
    <r>
      <rPr>
        <b/>
        <sz val="11"/>
        <color rgb="FFFF0000"/>
        <rFont val="Montserrat"/>
      </rPr>
      <t>.1</t>
    </r>
  </si>
  <si>
    <r>
      <t>A.2.1</t>
    </r>
    <r>
      <rPr>
        <b/>
        <sz val="11"/>
        <color rgb="FFFF0000"/>
        <rFont val="Montserrat"/>
      </rPr>
      <t>.2</t>
    </r>
  </si>
  <si>
    <t>Volumen total de materiales reciclados por año ÷ número total de turistas por año = Volumen total de residuos reciclados por turista por año</t>
  </si>
  <si>
    <t>Cantidades de residuos reciclados por residentes al año</t>
  </si>
  <si>
    <t>Cantidades de residuos reciclados por turista al año</t>
  </si>
  <si>
    <t>ETIS - Residuos reciclados por turistas respecto al total</t>
  </si>
  <si>
    <t>ETIS - Residuos reciclados por residentes respecto al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</si>
</sst>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Aptos Narrow"/>
      <family val="2"/>
      <scheme val="minor"/>
    </font>
    <font>
      <sz val="11"/>
      <color theme="1"/>
      <name val="Montserrat"/>
    </font>
    <font>
      <b/>
      <sz val="11"/>
      <color theme="1"/>
      <name val="Montserrat"/>
    </font>
    <font>
      <b/>
      <sz val="11"/>
      <color rgb="FFFF0000"/>
      <name val="Montserrat"/>
    </font>
    <font>
      <u/>
      <sz val="11"/>
      <color theme="10"/>
      <name val="Aptos Narrow"/>
      <family val="2"/>
      <scheme val="minor"/>
    </font>
    <font>
      <sz val="8"/>
      <name val="Aptos Narrow"/>
      <family val="2"/>
      <scheme val="minor"/>
    </font>
    <font>
      <vertAlign val="superscript"/>
      <sz val="11"/>
      <color theme="1"/>
      <name val="Montserrat"/>
    </font>
    <font>
      <sz val="11"/>
      <color theme="1"/>
      <name val="Aptos Narrow"/>
      <family val="2"/>
      <scheme val="minor"/>
    </font>
    <font>
      <u/>
      <sz val="11"/>
      <color theme="10"/>
      <name val="Montserrat"/>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3">
    <xf numFmtId="0" fontId="0" fillId="0" borderId="0"/>
    <xf numFmtId="0" fontId="4" fillId="0" borderId="0" applyNumberFormat="0" applyFill="0" applyBorder="0" applyAlignment="0" applyProtection="0"/>
    <xf numFmtId="9" fontId="7" fillId="0" borderId="0" applyFont="0" applyFill="0" applyBorder="0" applyAlignment="0" applyProtection="0"/>
  </cellStyleXfs>
  <cellXfs count="47">
    <xf numFmtId="0" fontId="0" fillId="0" borderId="0" xfId="0"/>
    <xf numFmtId="0" fontId="2" fillId="0" borderId="4" xfId="0" applyFont="1" applyBorder="1" applyAlignment="1">
      <alignment horizontal="center"/>
    </xf>
    <xf numFmtId="0" fontId="2" fillId="0" borderId="5" xfId="0" applyFont="1" applyBorder="1" applyAlignment="1">
      <alignment horizontal="center"/>
    </xf>
    <xf numFmtId="0" fontId="2" fillId="0" borderId="5" xfId="0" applyFont="1" applyBorder="1" applyAlignment="1">
      <alignment horizontal="left"/>
    </xf>
    <xf numFmtId="0" fontId="2" fillId="0" borderId="6" xfId="0" applyFont="1" applyBorder="1" applyAlignment="1">
      <alignment horizontal="center" vertical="center"/>
    </xf>
    <xf numFmtId="0" fontId="1" fillId="2" borderId="2" xfId="0" applyFont="1" applyFill="1" applyBorder="1"/>
    <xf numFmtId="0" fontId="1" fillId="2" borderId="2" xfId="0" applyFont="1" applyFill="1" applyBorder="1" applyAlignment="1">
      <alignment horizontal="left"/>
    </xf>
    <xf numFmtId="0" fontId="1" fillId="2" borderId="1" xfId="0" applyFont="1" applyFill="1" applyBorder="1"/>
    <xf numFmtId="0" fontId="1" fillId="2" borderId="1" xfId="0" applyFont="1" applyFill="1" applyBorder="1" applyAlignment="1">
      <alignment horizontal="left"/>
    </xf>
    <xf numFmtId="0" fontId="1" fillId="2" borderId="3" xfId="0" applyFont="1" applyFill="1" applyBorder="1" applyAlignment="1">
      <alignment horizontal="center" vertical="center"/>
    </xf>
    <xf numFmtId="0" fontId="1" fillId="2" borderId="1" xfId="0" applyFont="1" applyFill="1" applyBorder="1" applyAlignment="1">
      <alignment horizontal="center"/>
    </xf>
    <xf numFmtId="0" fontId="1" fillId="2" borderId="5" xfId="0" applyFont="1" applyFill="1" applyBorder="1" applyAlignment="1">
      <alignment horizontal="left"/>
    </xf>
    <xf numFmtId="0" fontId="1" fillId="2" borderId="1" xfId="0" applyFont="1" applyFill="1" applyBorder="1" applyAlignment="1">
      <alignment wrapText="1"/>
    </xf>
    <xf numFmtId="0" fontId="1" fillId="2" borderId="10" xfId="0" applyFont="1" applyFill="1" applyBorder="1"/>
    <xf numFmtId="0" fontId="1" fillId="2" borderId="7" xfId="0" applyFont="1" applyFill="1" applyBorder="1" applyAlignment="1">
      <alignment horizontal="left"/>
    </xf>
    <xf numFmtId="0" fontId="1" fillId="2" borderId="8" xfId="0" applyFont="1" applyFill="1" applyBorder="1"/>
    <xf numFmtId="0" fontId="1" fillId="2" borderId="9" xfId="0" applyFont="1" applyFill="1" applyBorder="1" applyAlignment="1">
      <alignment horizontal="center" vertical="center"/>
    </xf>
    <xf numFmtId="0" fontId="1" fillId="2" borderId="1" xfId="0" applyFont="1" applyFill="1" applyBorder="1" applyAlignment="1">
      <alignment horizontal="left" vertical="center"/>
    </xf>
    <xf numFmtId="0" fontId="1" fillId="4" borderId="2" xfId="0" applyFont="1" applyFill="1" applyBorder="1"/>
    <xf numFmtId="0" fontId="1" fillId="4" borderId="2" xfId="0" applyFont="1" applyFill="1" applyBorder="1" applyAlignment="1">
      <alignment horizontal="left"/>
    </xf>
    <xf numFmtId="0" fontId="1" fillId="4" borderId="1" xfId="0" applyFont="1" applyFill="1" applyBorder="1"/>
    <xf numFmtId="0" fontId="1" fillId="4" borderId="1" xfId="0" applyFont="1" applyFill="1" applyBorder="1" applyAlignment="1">
      <alignment horizontal="center"/>
    </xf>
    <xf numFmtId="0" fontId="1" fillId="4" borderId="3" xfId="0" applyFont="1" applyFill="1" applyBorder="1" applyAlignment="1">
      <alignment horizontal="center" vertical="center"/>
    </xf>
    <xf numFmtId="0" fontId="1" fillId="4" borderId="1" xfId="0" applyFont="1" applyFill="1" applyBorder="1" applyAlignment="1">
      <alignment horizontal="left"/>
    </xf>
    <xf numFmtId="0" fontId="1" fillId="3" borderId="2" xfId="0" applyFont="1" applyFill="1" applyBorder="1"/>
    <xf numFmtId="0" fontId="1" fillId="3" borderId="2" xfId="0" applyFont="1" applyFill="1" applyBorder="1" applyAlignment="1">
      <alignment horizontal="left"/>
    </xf>
    <xf numFmtId="0" fontId="1" fillId="3" borderId="1" xfId="0" applyFont="1" applyFill="1" applyBorder="1"/>
    <xf numFmtId="0" fontId="1" fillId="3" borderId="1" xfId="0" applyFont="1" applyFill="1" applyBorder="1" applyAlignment="1">
      <alignment horizontal="center"/>
    </xf>
    <xf numFmtId="0" fontId="1" fillId="3" borderId="3" xfId="0" applyFont="1" applyFill="1" applyBorder="1" applyAlignment="1">
      <alignment horizontal="center" vertical="center"/>
    </xf>
    <xf numFmtId="0" fontId="1" fillId="3" borderId="1" xfId="0" applyFont="1" applyFill="1" applyBorder="1" applyAlignment="1">
      <alignment horizontal="left"/>
    </xf>
    <xf numFmtId="2" fontId="1" fillId="3" borderId="3" xfId="0" applyNumberFormat="1" applyFont="1" applyFill="1" applyBorder="1" applyAlignment="1">
      <alignment horizontal="center" vertical="center"/>
    </xf>
    <xf numFmtId="0" fontId="1" fillId="3" borderId="1" xfId="1" applyFont="1" applyFill="1" applyBorder="1" applyAlignment="1">
      <alignment horizontal="left"/>
    </xf>
    <xf numFmtId="3" fontId="1" fillId="3" borderId="3" xfId="0" applyNumberFormat="1" applyFont="1" applyFill="1" applyBorder="1" applyAlignment="1">
      <alignment horizontal="center" vertical="center"/>
    </xf>
    <xf numFmtId="0" fontId="1" fillId="3" borderId="5" xfId="0" applyFont="1" applyFill="1" applyBorder="1" applyAlignment="1">
      <alignment horizontal="left"/>
    </xf>
    <xf numFmtId="4" fontId="1" fillId="3" borderId="3" xfId="0" applyNumberFormat="1" applyFont="1" applyFill="1" applyBorder="1" applyAlignment="1">
      <alignment horizontal="center" vertical="center"/>
    </xf>
    <xf numFmtId="3" fontId="0" fillId="0" borderId="0" xfId="0" applyNumberFormat="1"/>
    <xf numFmtId="164" fontId="0" fillId="0" borderId="0" xfId="0" applyNumberFormat="1"/>
    <xf numFmtId="0" fontId="1" fillId="0" borderId="0" xfId="0" applyFont="1"/>
    <xf numFmtId="165" fontId="1" fillId="0" borderId="0" xfId="2" applyNumberFormat="1" applyFont="1"/>
    <xf numFmtId="0" fontId="2" fillId="0" borderId="0" xfId="0" applyFont="1"/>
    <xf numFmtId="9" fontId="1" fillId="0" borderId="0" xfId="0" applyNumberFormat="1" applyFont="1"/>
    <xf numFmtId="9" fontId="1" fillId="0" borderId="0" xfId="2" applyFont="1"/>
    <xf numFmtId="0" fontId="1" fillId="3" borderId="2" xfId="1" applyFont="1" applyFill="1" applyBorder="1" applyAlignment="1">
      <alignment horizontal="left"/>
    </xf>
    <xf numFmtId="0" fontId="8" fillId="3" borderId="1" xfId="1" applyFont="1" applyFill="1" applyBorder="1" applyAlignment="1">
      <alignment horizontal="left"/>
    </xf>
    <xf numFmtId="0" fontId="1" fillId="0" borderId="0" xfId="0" applyFont="1" applyAlignment="1">
      <alignment horizontal="center" vertical="center"/>
    </xf>
    <xf numFmtId="0" fontId="1" fillId="0" borderId="0" xfId="0" applyFont="1" applyAlignment="1">
      <alignment horizontal="left"/>
    </xf>
    <xf numFmtId="0" fontId="1" fillId="3" borderId="1" xfId="0" applyFont="1" applyFill="1" applyBorder="1" applyAlignment="1">
      <alignment wrapText="1"/>
    </xf>
  </cellXfs>
  <cellStyles count="3">
    <cellStyle name="Hipervínculo" xfId="1" builtinId="8"/>
    <cellStyle name="Normal" xfId="0" builtinId="0"/>
    <cellStyle name="Porcentaje" xfId="2" builtinId="5"/>
  </cellStyles>
  <dxfs count="35">
    <dxf>
      <font>
        <b val="0"/>
        <i val="0"/>
        <strike val="0"/>
        <condense val="0"/>
        <extend val="0"/>
        <outline val="0"/>
        <shadow val="0"/>
        <u val="none"/>
        <vertAlign val="baseline"/>
        <sz val="11"/>
        <color theme="1"/>
        <name val="Montserrat"/>
        <scheme val="none"/>
      </font>
      <numFmt numFmtId="165" formatCode="0.0%"/>
    </dxf>
    <dxf>
      <font>
        <b val="0"/>
        <i val="0"/>
        <strike val="0"/>
        <condense val="0"/>
        <extend val="0"/>
        <outline val="0"/>
        <shadow val="0"/>
        <u val="none"/>
        <vertAlign val="baseline"/>
        <sz val="11"/>
        <color theme="1"/>
        <name val="Montserrat"/>
        <scheme val="none"/>
      </font>
      <numFmt numFmtId="165" formatCode="0.0%"/>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numFmt numFmtId="164" formatCode="0.0"/>
    </dxf>
    <dxf>
      <numFmt numFmtId="164" formatCode="0.0"/>
    </dxf>
    <dxf>
      <numFmt numFmtId="3" formatCode="#,##0"/>
    </dxf>
    <dxf>
      <numFmt numFmtId="3" formatCode="#,##0"/>
    </dxf>
    <dxf>
      <numFmt numFmtId="3" formatCode="#,##0"/>
    </dxf>
    <dxf>
      <font>
        <b val="0"/>
        <i val="0"/>
        <strike val="0"/>
        <condense val="0"/>
        <extend val="0"/>
        <outline val="0"/>
        <shadow val="0"/>
        <u val="none"/>
        <vertAlign val="baseline"/>
        <sz val="11"/>
        <color theme="1"/>
        <name val="Montserrat"/>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dxf>
    <dxf>
      <border outline="0">
        <bottom style="thin">
          <color indexed="64"/>
        </bottom>
      </border>
    </dxf>
    <dxf>
      <font>
        <b/>
        <i val="0"/>
        <strike val="0"/>
        <condense val="0"/>
        <extend val="0"/>
        <outline val="0"/>
        <shadow val="0"/>
        <u val="none"/>
        <vertAlign val="baseline"/>
        <sz val="11"/>
        <color theme="1"/>
        <name val="Montserrat"/>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sep Marí" id="{AB9528B7-6643-4F77-B76C-533514F2F00F}" userId="S::jmari@grupimedes.com::4ef0aca9-8588-4292-b7c9-7f802db28bf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2E2F1-7CAD-4C76-BEFF-2442C0A18302}" name="Dashboard" displayName="Dashboard" ref="A1:O52" totalsRowShown="0" headerRowDxfId="34" dataDxfId="32" headerRowBorderDxfId="33" tableBorderDxfId="31" totalsRowBorderDxfId="30">
  <autoFilter ref="A1:O52" xr:uid="{72A2E2F1-7CAD-4C76-BEFF-2442C0A18302}">
    <filterColumn colId="4">
      <filters>
        <filter val="Gestión de residuos"/>
      </filters>
    </filterColumn>
  </autoFilter>
  <tableColumns count="15">
    <tableColumn id="1" xr3:uid="{1793D8B9-1834-4672-94E2-370894E55593}" name="Año" dataDxfId="29"/>
    <tableColumn id="12" xr3:uid="{2FF65C8B-F0E1-459C-B72F-3A1A5329FDAB}" name="ETIS" dataDxfId="28"/>
    <tableColumn id="2" xr3:uid="{F07E8271-E1B8-461E-B50E-2EB9D386F2B2}" name="AT" dataDxfId="27"/>
    <tableColumn id="14" xr3:uid="{0D608246-D32D-48AD-800A-6F54D324BFD7}" name="id" dataDxfId="26"/>
    <tableColumn id="3" xr3:uid="{D51E5057-D018-405C-B143-B371CD456218}" name="Ámbito" dataDxfId="25"/>
    <tableColumn id="4" xr3:uid="{CFCF5ECA-0AA5-45F6-A186-ECCAC4B1EC6E}" name="Descripción" dataDxfId="24"/>
    <tableColumn id="5" xr3:uid="{1488B99B-78C9-4468-8D60-263604C2D928}" name="Indicador" dataDxfId="23"/>
    <tableColumn id="6" xr3:uid="{4AC59F78-D67E-44DA-81BA-1C07113D1CC5}" name="Organismo" dataDxfId="22"/>
    <tableColumn id="13" xr3:uid="{F4FC4163-F838-4797-BEA4-9644F0B3C06D}" name="Fuente" dataDxfId="21"/>
    <tableColumn id="7" xr3:uid="{7198AE02-1EA6-4D67-A26F-8B3748D568D6}" name="Tiempo" dataDxfId="20"/>
    <tableColumn id="8" xr3:uid="{4C02F462-3174-4584-8410-1077CADC5591}" name="Unidad" dataDxfId="19"/>
    <tableColumn id="9" xr3:uid="{8FB0E2B5-632E-4D1F-AAEB-0F2BD259FA74}" name="Método de cálculo" dataDxfId="18"/>
    <tableColumn id="10" xr3:uid="{C3FBCC74-5AA3-417F-9D36-95040BB64175}" name="Datos requeridos" dataDxfId="17"/>
    <tableColumn id="11" xr3:uid="{1CC99560-09A8-483F-9CD5-16A60F770D27}" name="Valor" dataDxfId="16"/>
    <tableColumn id="16" xr3:uid="{AB90ABD6-A80B-4C26-AC5E-FC8654EC0E4D}" name="Comentarios" dataDxfId="15"/>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E23E19-D925-4C90-A349-3DD8005DD7C2}" name="Turistas" displayName="Turistas" ref="A1:H13" totalsRowShown="0">
  <autoFilter ref="A1:H13" xr:uid="{18E23E19-D925-4C90-A349-3DD8005DD7C2}"/>
  <tableColumns count="8">
    <tableColumn id="1" xr3:uid="{37A32B2F-03BA-4553-8470-CA20D3777409}" name="Mes"/>
    <tableColumn id="8" xr3:uid="{2CA49775-932E-45F6-944E-9F105552BC72}" name="Orden meses"/>
    <tableColumn id="7" xr3:uid="{5FB8A54B-30AF-4CF9-8720-8E59D72FAE07}" name="Año"/>
    <tableColumn id="2" xr3:uid="{B343196D-F313-4338-A33E-C35CA22E1037}" name="1. Turistas extranjeros que visitaron Calp" dataDxfId="14"/>
    <tableColumn id="3" xr3:uid="{7694471A-5A27-4BAB-9627-5B49B697400E}" name="1. Turistas nacionales que visitaron Calp" dataDxfId="13"/>
    <tableColumn id="4" xr3:uid="{1BAEF350-378C-40C2-820B-759FCF4ED388}" name="1. Total turistas" dataDxfId="12"/>
    <tableColumn id="5" xr3:uid="{A35DAE71-EE4A-4EC9-8460-F2F26963F5A2}" name="2.% Turistas extranjeros que visitaron Calp" dataDxfId="11"/>
    <tableColumn id="6" xr3:uid="{77257F63-E741-45A0-A7C8-573D91BC35FA}" name="2. % Turistas nacionales que visitaron Calp" dataDxfId="1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B811EC-84D2-45FC-891C-7E090EB6CBCD}" name="Alojamientos" displayName="Alojamientos" ref="A1:H9" totalsRowShown="0" headerRowDxfId="9" dataDxfId="8">
  <autoFilter ref="A1:H9" xr:uid="{32B811EC-84D2-45FC-891C-7E090EB6CBCD}"/>
  <tableColumns count="8">
    <tableColumn id="1" xr3:uid="{07BCC607-7EEB-4361-B136-CCDA8E5F70BE}" name="Tipo" dataDxfId="7"/>
    <tableColumn id="8" xr3:uid="{0871BF09-A2EB-42F4-86E2-C14CDB481EC8}" name="Año" dataDxfId="6"/>
    <tableColumn id="2" xr3:uid="{B1AB5E11-B4CF-48BB-A35C-C459F9489AB4}" name="Establecimientos" dataDxfId="5"/>
    <tableColumn id="3" xr3:uid="{ACC63EB1-5B06-4BEE-9E7E-B340C9BD2498}" name="Plazas" dataDxfId="4"/>
    <tableColumn id="4" xr3:uid="{03DB75FF-9B48-49D9-9D17-D4363A5A9025}" name="Habitaciones" dataDxfId="3"/>
    <tableColumn id="5" xr3:uid="{B55E2CBA-9D33-447F-AFD9-B5ED8123A040}" name="Parcelas" dataDxfId="2"/>
    <tableColumn id="6" xr3:uid="{18A9F2D6-F247-4306-843D-3BC9A08F8F16}" name="% alojamientos" dataDxfId="1" dataCellStyle="Porcentaje"/>
    <tableColumn id="7" xr3:uid="{0CA9FABA-AC27-4D35-A37F-5ADFC3A1E28A}" name="% plazas" dataDxfId="0" dataCellStyle="Porcentaje">
      <calculatedColumnFormula>D2/D$9</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0" dT="2025-12-11T16:46:50.50" personId="{AB9528B7-6643-4F77-B76C-533514F2F00F}" id="{86248D9D-A426-4266-983B-342EA897A500}">
    <text>Preguntar a Paula si tenim este dato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seg-social.es/wps/portal/wss/internet/EstadisticasPresupuestosEstudios/Estadisticas/EST8/EST10/EST305/c43ad8ea-fe79-4329-ac8e-e5758f3c4d7a/f83fe4aa-2dee-49c5-8317-98d105813796" TargetMode="External"/><Relationship Id="rId1" Type="http://schemas.openxmlformats.org/officeDocument/2006/relationships/hyperlink" Target="https://www.seg-social.es/wps/portal/wss/internet/EstadisticasPresupuestosEstudios/Estadisticas/EST8/EST10/EST305/c43ad8ea-fe79-4329-ac8e-e5758f3c4d7a/f83fe4aa-2dee-49c5-8317-98d105813796"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13B8-EC56-4433-A73B-150D55368D4D}">
  <dimension ref="A1:O52"/>
  <sheetViews>
    <sheetView tabSelected="1" topLeftCell="E1" workbookViewId="0">
      <selection activeCell="F54" sqref="F54"/>
    </sheetView>
  </sheetViews>
  <sheetFormatPr baseColWidth="10" defaultRowHeight="16.8" x14ac:dyDescent="0.4"/>
  <cols>
    <col min="1" max="2" width="11.5546875" style="37"/>
    <col min="3" max="4" width="16.6640625" style="37" customWidth="1"/>
    <col min="5" max="5" width="52.5546875" style="37" bestFit="1" customWidth="1"/>
    <col min="6" max="6" width="113" style="37" bestFit="1" customWidth="1"/>
    <col min="7" max="7" width="36.6640625" style="37" bestFit="1" customWidth="1"/>
    <col min="8" max="8" width="32.6640625" style="37" bestFit="1" customWidth="1"/>
    <col min="9" max="9" width="32.6640625" style="37" customWidth="1"/>
    <col min="10" max="10" width="14.21875" style="37" customWidth="1"/>
    <col min="11" max="11" width="11.5546875" style="37"/>
    <col min="12" max="12" width="22" style="37" customWidth="1"/>
    <col min="13" max="13" width="21.5546875" style="37" customWidth="1"/>
    <col min="14" max="14" width="15.21875" style="44" customWidth="1"/>
    <col min="15" max="15" width="255.77734375" style="45" bestFit="1" customWidth="1"/>
    <col min="16" max="16384" width="11.5546875" style="37"/>
  </cols>
  <sheetData>
    <row r="1" spans="1:15" x14ac:dyDescent="0.4">
      <c r="A1" s="1" t="s">
        <v>0</v>
      </c>
      <c r="B1" s="1" t="s">
        <v>36</v>
      </c>
      <c r="C1" s="2" t="s">
        <v>19</v>
      </c>
      <c r="D1" s="2" t="s">
        <v>288</v>
      </c>
      <c r="E1" s="2" t="s">
        <v>1</v>
      </c>
      <c r="F1" s="2" t="s">
        <v>13</v>
      </c>
      <c r="G1" s="2" t="s">
        <v>2</v>
      </c>
      <c r="H1" s="2" t="s">
        <v>39</v>
      </c>
      <c r="I1" s="2" t="s">
        <v>3</v>
      </c>
      <c r="J1" s="2" t="s">
        <v>4</v>
      </c>
      <c r="K1" s="2" t="s">
        <v>5</v>
      </c>
      <c r="L1" s="2" t="s">
        <v>6</v>
      </c>
      <c r="M1" s="2" t="s">
        <v>93</v>
      </c>
      <c r="N1" s="4" t="s">
        <v>7</v>
      </c>
      <c r="O1" s="3" t="s">
        <v>163</v>
      </c>
    </row>
    <row r="2" spans="1:15" hidden="1" x14ac:dyDescent="0.4">
      <c r="A2" s="24">
        <v>2024</v>
      </c>
      <c r="B2" s="25" t="s">
        <v>55</v>
      </c>
      <c r="C2" s="26" t="s">
        <v>20</v>
      </c>
      <c r="D2" s="26">
        <v>1</v>
      </c>
      <c r="E2" s="29" t="s">
        <v>8</v>
      </c>
      <c r="F2" s="29" t="s">
        <v>58</v>
      </c>
      <c r="G2" s="29" t="s">
        <v>209</v>
      </c>
      <c r="H2" s="27" t="s">
        <v>57</v>
      </c>
      <c r="I2" s="27" t="s">
        <v>56</v>
      </c>
      <c r="J2" s="29" t="s">
        <v>11</v>
      </c>
      <c r="K2" s="27" t="s">
        <v>12</v>
      </c>
      <c r="L2" s="27" t="s">
        <v>59</v>
      </c>
      <c r="M2" s="27" t="s">
        <v>60</v>
      </c>
      <c r="N2" s="28">
        <v>1.1399999999999999</v>
      </c>
      <c r="O2" s="29" t="s">
        <v>61</v>
      </c>
    </row>
    <row r="3" spans="1:15" hidden="1" x14ac:dyDescent="0.4">
      <c r="A3" s="5">
        <v>2024</v>
      </c>
      <c r="B3" s="6" t="s">
        <v>123</v>
      </c>
      <c r="C3" s="7" t="s">
        <v>20</v>
      </c>
      <c r="D3" s="7">
        <v>1</v>
      </c>
      <c r="E3" s="7" t="s">
        <v>8</v>
      </c>
      <c r="F3" s="7" t="s">
        <v>9</v>
      </c>
      <c r="G3" s="7" t="s">
        <v>213</v>
      </c>
      <c r="H3" s="7" t="s">
        <v>10</v>
      </c>
      <c r="I3" s="7" t="s">
        <v>231</v>
      </c>
      <c r="J3" s="7" t="s">
        <v>11</v>
      </c>
      <c r="K3" s="10" t="s">
        <v>12</v>
      </c>
      <c r="L3" s="7" t="s">
        <v>14</v>
      </c>
      <c r="M3" s="7" t="s">
        <v>117</v>
      </c>
      <c r="N3" s="9" t="s">
        <v>123</v>
      </c>
      <c r="O3" s="11"/>
    </row>
    <row r="4" spans="1:15" hidden="1" x14ac:dyDescent="0.4">
      <c r="A4" s="5">
        <v>2024</v>
      </c>
      <c r="B4" s="6" t="s">
        <v>123</v>
      </c>
      <c r="C4" s="7" t="s">
        <v>20</v>
      </c>
      <c r="D4" s="7">
        <v>1</v>
      </c>
      <c r="E4" s="7" t="s">
        <v>8</v>
      </c>
      <c r="F4" s="7" t="s">
        <v>15</v>
      </c>
      <c r="G4" s="7" t="s">
        <v>214</v>
      </c>
      <c r="H4" s="7" t="s">
        <v>10</v>
      </c>
      <c r="I4" s="7" t="s">
        <v>231</v>
      </c>
      <c r="J4" s="7" t="s">
        <v>11</v>
      </c>
      <c r="K4" s="10" t="s">
        <v>17</v>
      </c>
      <c r="L4" s="7" t="s">
        <v>16</v>
      </c>
      <c r="M4" s="7" t="s">
        <v>116</v>
      </c>
      <c r="N4" s="9" t="s">
        <v>123</v>
      </c>
      <c r="O4" s="8"/>
    </row>
    <row r="5" spans="1:15" hidden="1" x14ac:dyDescent="0.4">
      <c r="A5" s="5">
        <v>2024</v>
      </c>
      <c r="B5" s="6" t="s">
        <v>123</v>
      </c>
      <c r="C5" s="7" t="s">
        <v>20</v>
      </c>
      <c r="D5" s="7">
        <v>1</v>
      </c>
      <c r="E5" s="7" t="s">
        <v>8</v>
      </c>
      <c r="F5" s="7" t="s">
        <v>280</v>
      </c>
      <c r="G5" s="7" t="s">
        <v>281</v>
      </c>
      <c r="H5" s="7" t="s">
        <v>10</v>
      </c>
      <c r="I5" s="7" t="s">
        <v>231</v>
      </c>
      <c r="J5" s="7" t="s">
        <v>11</v>
      </c>
      <c r="K5" s="10" t="s">
        <v>12</v>
      </c>
      <c r="L5" s="17" t="s">
        <v>282</v>
      </c>
      <c r="M5" s="7" t="s">
        <v>284</v>
      </c>
      <c r="N5" s="9" t="s">
        <v>123</v>
      </c>
      <c r="O5" s="6"/>
    </row>
    <row r="6" spans="1:15" hidden="1" x14ac:dyDescent="0.4">
      <c r="A6" s="5">
        <v>2024</v>
      </c>
      <c r="B6" s="6" t="s">
        <v>123</v>
      </c>
      <c r="C6" s="7" t="s">
        <v>20</v>
      </c>
      <c r="D6" s="7">
        <v>1</v>
      </c>
      <c r="E6" s="7" t="s">
        <v>8</v>
      </c>
      <c r="F6" s="7" t="s">
        <v>285</v>
      </c>
      <c r="G6" s="7" t="s">
        <v>281</v>
      </c>
      <c r="H6" s="7" t="s">
        <v>10</v>
      </c>
      <c r="I6" s="7" t="s">
        <v>231</v>
      </c>
      <c r="J6" s="7" t="s">
        <v>11</v>
      </c>
      <c r="K6" s="10" t="s">
        <v>12</v>
      </c>
      <c r="L6" s="17" t="s">
        <v>286</v>
      </c>
      <c r="M6" s="7" t="s">
        <v>287</v>
      </c>
      <c r="N6" s="9" t="s">
        <v>123</v>
      </c>
      <c r="O6" s="6"/>
    </row>
    <row r="7" spans="1:15" hidden="1" x14ac:dyDescent="0.4">
      <c r="A7" s="24">
        <v>2024</v>
      </c>
      <c r="B7" s="25" t="s">
        <v>188</v>
      </c>
      <c r="C7" s="26" t="s">
        <v>20</v>
      </c>
      <c r="D7" s="26">
        <v>2</v>
      </c>
      <c r="E7" s="26" t="s">
        <v>21</v>
      </c>
      <c r="F7" s="26" t="s">
        <v>190</v>
      </c>
      <c r="G7" s="26" t="s">
        <v>208</v>
      </c>
      <c r="H7" s="26" t="s">
        <v>10</v>
      </c>
      <c r="I7" s="26" t="s">
        <v>186</v>
      </c>
      <c r="J7" s="26" t="s">
        <v>11</v>
      </c>
      <c r="K7" s="27" t="s">
        <v>12</v>
      </c>
      <c r="L7" s="26" t="s">
        <v>159</v>
      </c>
      <c r="M7" s="26" t="s">
        <v>161</v>
      </c>
      <c r="N7" s="28">
        <v>52.27</v>
      </c>
      <c r="O7" s="29" t="s">
        <v>211</v>
      </c>
    </row>
    <row r="8" spans="1:15" hidden="1" x14ac:dyDescent="0.4">
      <c r="A8" s="24">
        <v>2024</v>
      </c>
      <c r="B8" s="25" t="s">
        <v>187</v>
      </c>
      <c r="C8" s="26" t="s">
        <v>20</v>
      </c>
      <c r="D8" s="26">
        <v>2</v>
      </c>
      <c r="E8" s="26" t="s">
        <v>21</v>
      </c>
      <c r="F8" s="26" t="s">
        <v>189</v>
      </c>
      <c r="G8" s="26" t="s">
        <v>208</v>
      </c>
      <c r="H8" s="26" t="s">
        <v>10</v>
      </c>
      <c r="I8" s="26" t="s">
        <v>186</v>
      </c>
      <c r="J8" s="26" t="s">
        <v>11</v>
      </c>
      <c r="K8" s="27" t="s">
        <v>12</v>
      </c>
      <c r="L8" s="26" t="s">
        <v>160</v>
      </c>
      <c r="M8" s="26" t="s">
        <v>162</v>
      </c>
      <c r="N8" s="28">
        <v>47.73</v>
      </c>
      <c r="O8" s="29" t="s">
        <v>212</v>
      </c>
    </row>
    <row r="9" spans="1:15" hidden="1" x14ac:dyDescent="0.4">
      <c r="A9" s="24">
        <v>2024</v>
      </c>
      <c r="B9" s="25" t="s">
        <v>62</v>
      </c>
      <c r="C9" s="26" t="s">
        <v>20</v>
      </c>
      <c r="D9" s="26">
        <v>3</v>
      </c>
      <c r="E9" s="26" t="s">
        <v>22</v>
      </c>
      <c r="F9" s="26" t="s">
        <v>63</v>
      </c>
      <c r="G9" s="26" t="s">
        <v>207</v>
      </c>
      <c r="H9" s="26" t="s">
        <v>64</v>
      </c>
      <c r="I9" s="26" t="s">
        <v>67</v>
      </c>
      <c r="J9" s="26" t="s">
        <v>11</v>
      </c>
      <c r="K9" s="33" t="s">
        <v>65</v>
      </c>
      <c r="L9" s="26" t="s">
        <v>66</v>
      </c>
      <c r="M9" s="26" t="s">
        <v>115</v>
      </c>
      <c r="N9" s="32">
        <v>401126</v>
      </c>
      <c r="O9" s="29"/>
    </row>
    <row r="10" spans="1:15" hidden="1" x14ac:dyDescent="0.4">
      <c r="A10" s="24">
        <v>2024</v>
      </c>
      <c r="B10" s="25" t="s">
        <v>69</v>
      </c>
      <c r="C10" s="26" t="s">
        <v>20</v>
      </c>
      <c r="D10" s="26">
        <v>3</v>
      </c>
      <c r="E10" s="26" t="s">
        <v>22</v>
      </c>
      <c r="F10" s="26" t="s">
        <v>68</v>
      </c>
      <c r="G10" s="26" t="s">
        <v>207</v>
      </c>
      <c r="H10" s="26" t="s">
        <v>64</v>
      </c>
      <c r="I10" s="26" t="s">
        <v>67</v>
      </c>
      <c r="J10" s="26" t="s">
        <v>70</v>
      </c>
      <c r="K10" s="33" t="s">
        <v>65</v>
      </c>
      <c r="L10" s="26" t="s">
        <v>71</v>
      </c>
      <c r="M10" s="26" t="s">
        <v>114</v>
      </c>
      <c r="N10" s="32">
        <v>4813511</v>
      </c>
      <c r="O10" s="29"/>
    </row>
    <row r="11" spans="1:15" hidden="1" x14ac:dyDescent="0.4">
      <c r="A11" s="24">
        <v>2024</v>
      </c>
      <c r="B11" s="25" t="s">
        <v>72</v>
      </c>
      <c r="C11" s="26" t="s">
        <v>20</v>
      </c>
      <c r="D11" s="26">
        <v>3</v>
      </c>
      <c r="E11" s="26" t="s">
        <v>22</v>
      </c>
      <c r="F11" s="26" t="s">
        <v>173</v>
      </c>
      <c r="G11" s="26" t="s">
        <v>207</v>
      </c>
      <c r="H11" s="26" t="s">
        <v>64</v>
      </c>
      <c r="I11" s="26" t="s">
        <v>174</v>
      </c>
      <c r="J11" s="26" t="s">
        <v>11</v>
      </c>
      <c r="K11" s="27" t="s">
        <v>175</v>
      </c>
      <c r="L11" s="26" t="s">
        <v>176</v>
      </c>
      <c r="M11" s="26" t="s">
        <v>178</v>
      </c>
      <c r="N11" s="34">
        <v>120.8</v>
      </c>
      <c r="O11" s="29" t="s">
        <v>177</v>
      </c>
    </row>
    <row r="12" spans="1:15" hidden="1" x14ac:dyDescent="0.4">
      <c r="A12" s="24">
        <v>2024</v>
      </c>
      <c r="B12" s="25" t="s">
        <v>73</v>
      </c>
      <c r="C12" s="26" t="s">
        <v>20</v>
      </c>
      <c r="D12" s="26">
        <v>3</v>
      </c>
      <c r="E12" s="26" t="s">
        <v>22</v>
      </c>
      <c r="F12" s="26" t="s">
        <v>76</v>
      </c>
      <c r="G12" s="26" t="s">
        <v>206</v>
      </c>
      <c r="H12" s="26" t="s">
        <v>64</v>
      </c>
      <c r="I12" s="26" t="s">
        <v>78</v>
      </c>
      <c r="J12" s="26" t="s">
        <v>11</v>
      </c>
      <c r="K12" s="27" t="s">
        <v>74</v>
      </c>
      <c r="L12" s="26" t="s">
        <v>75</v>
      </c>
      <c r="M12" s="26" t="s">
        <v>79</v>
      </c>
      <c r="N12" s="34">
        <v>9.75</v>
      </c>
      <c r="O12" s="29" t="s">
        <v>77</v>
      </c>
    </row>
    <row r="13" spans="1:15" hidden="1" x14ac:dyDescent="0.4">
      <c r="A13" s="24">
        <v>2024</v>
      </c>
      <c r="B13" s="25" t="s">
        <v>80</v>
      </c>
      <c r="C13" s="26" t="s">
        <v>20</v>
      </c>
      <c r="D13" s="26">
        <v>3</v>
      </c>
      <c r="E13" s="26" t="s">
        <v>22</v>
      </c>
      <c r="F13" s="26" t="s">
        <v>81</v>
      </c>
      <c r="G13" s="26" t="s">
        <v>205</v>
      </c>
      <c r="H13" s="26" t="s">
        <v>82</v>
      </c>
      <c r="I13" s="26" t="s">
        <v>82</v>
      </c>
      <c r="J13" s="26" t="s">
        <v>11</v>
      </c>
      <c r="K13" s="27" t="s">
        <v>12</v>
      </c>
      <c r="L13" s="26" t="s">
        <v>84</v>
      </c>
      <c r="M13" s="26" t="s">
        <v>83</v>
      </c>
      <c r="N13" s="34">
        <v>34.97</v>
      </c>
      <c r="O13" s="43" t="s">
        <v>85</v>
      </c>
    </row>
    <row r="14" spans="1:15" hidden="1" x14ac:dyDescent="0.4">
      <c r="A14" s="24">
        <v>2024</v>
      </c>
      <c r="B14" s="25" t="s">
        <v>179</v>
      </c>
      <c r="C14" s="26" t="s">
        <v>20</v>
      </c>
      <c r="D14" s="26">
        <v>3</v>
      </c>
      <c r="E14" s="26" t="s">
        <v>22</v>
      </c>
      <c r="F14" s="26" t="s">
        <v>180</v>
      </c>
      <c r="G14" s="26" t="s">
        <v>204</v>
      </c>
      <c r="H14" s="26" t="s">
        <v>181</v>
      </c>
      <c r="I14" s="26" t="s">
        <v>182</v>
      </c>
      <c r="J14" s="26" t="s">
        <v>11</v>
      </c>
      <c r="K14" s="27" t="s">
        <v>12</v>
      </c>
      <c r="L14" s="26" t="s">
        <v>183</v>
      </c>
      <c r="M14" s="26" t="s">
        <v>184</v>
      </c>
      <c r="N14" s="34">
        <v>11.7</v>
      </c>
      <c r="O14" s="31" t="s">
        <v>185</v>
      </c>
    </row>
    <row r="15" spans="1:15" hidden="1" x14ac:dyDescent="0.4">
      <c r="A15" s="24">
        <v>2024</v>
      </c>
      <c r="B15" s="25" t="s">
        <v>123</v>
      </c>
      <c r="C15" s="26" t="s">
        <v>28</v>
      </c>
      <c r="D15" s="26">
        <v>3</v>
      </c>
      <c r="E15" s="26" t="s">
        <v>22</v>
      </c>
      <c r="F15" s="26" t="s">
        <v>317</v>
      </c>
      <c r="G15" s="26" t="s">
        <v>320</v>
      </c>
      <c r="H15" s="26" t="s">
        <v>64</v>
      </c>
      <c r="I15" s="26" t="s">
        <v>123</v>
      </c>
      <c r="J15" s="26" t="s">
        <v>11</v>
      </c>
      <c r="K15" s="27" t="s">
        <v>17</v>
      </c>
      <c r="L15" s="26" t="s">
        <v>321</v>
      </c>
      <c r="M15" s="26" t="s">
        <v>324</v>
      </c>
      <c r="N15" s="34">
        <v>859</v>
      </c>
      <c r="O15" s="42"/>
    </row>
    <row r="16" spans="1:15" hidden="1" x14ac:dyDescent="0.4">
      <c r="A16" s="24">
        <v>2024</v>
      </c>
      <c r="B16" s="25" t="s">
        <v>123</v>
      </c>
      <c r="C16" s="26" t="s">
        <v>28</v>
      </c>
      <c r="D16" s="26">
        <v>3</v>
      </c>
      <c r="E16" s="26" t="s">
        <v>22</v>
      </c>
      <c r="F16" s="26" t="s">
        <v>318</v>
      </c>
      <c r="G16" s="26" t="s">
        <v>320</v>
      </c>
      <c r="H16" s="26" t="s">
        <v>64</v>
      </c>
      <c r="I16" s="26" t="s">
        <v>123</v>
      </c>
      <c r="J16" s="26" t="s">
        <v>11</v>
      </c>
      <c r="K16" s="27" t="s">
        <v>17</v>
      </c>
      <c r="L16" s="26" t="s">
        <v>322</v>
      </c>
      <c r="M16" s="26" t="s">
        <v>325</v>
      </c>
      <c r="N16" s="34">
        <v>7</v>
      </c>
      <c r="O16" s="42"/>
    </row>
    <row r="17" spans="1:15" hidden="1" x14ac:dyDescent="0.4">
      <c r="A17" s="24">
        <v>2024</v>
      </c>
      <c r="B17" s="25" t="s">
        <v>123</v>
      </c>
      <c r="C17" s="26" t="s">
        <v>28</v>
      </c>
      <c r="D17" s="26">
        <v>3</v>
      </c>
      <c r="E17" s="26" t="s">
        <v>22</v>
      </c>
      <c r="F17" s="26" t="s">
        <v>319</v>
      </c>
      <c r="G17" s="26" t="s">
        <v>320</v>
      </c>
      <c r="H17" s="26" t="s">
        <v>64</v>
      </c>
      <c r="I17" s="26" t="s">
        <v>123</v>
      </c>
      <c r="J17" s="26" t="s">
        <v>11</v>
      </c>
      <c r="K17" s="27" t="s">
        <v>17</v>
      </c>
      <c r="L17" s="26" t="s">
        <v>323</v>
      </c>
      <c r="M17" s="26" t="s">
        <v>326</v>
      </c>
      <c r="N17" s="34">
        <v>4</v>
      </c>
      <c r="O17" s="42"/>
    </row>
    <row r="18" spans="1:15" hidden="1" x14ac:dyDescent="0.4">
      <c r="A18" s="18">
        <v>2024</v>
      </c>
      <c r="B18" s="19" t="s">
        <v>123</v>
      </c>
      <c r="C18" s="20" t="s">
        <v>20</v>
      </c>
      <c r="D18" s="20">
        <v>4</v>
      </c>
      <c r="E18" s="20" t="s">
        <v>23</v>
      </c>
      <c r="F18" s="20" t="s">
        <v>123</v>
      </c>
      <c r="G18" s="20" t="s">
        <v>123</v>
      </c>
      <c r="H18" s="20" t="s">
        <v>123</v>
      </c>
      <c r="I18" s="20" t="s">
        <v>123</v>
      </c>
      <c r="J18" s="20" t="s">
        <v>123</v>
      </c>
      <c r="K18" s="21" t="s">
        <v>123</v>
      </c>
      <c r="L18" s="20" t="s">
        <v>123</v>
      </c>
      <c r="M18" s="20" t="s">
        <v>123</v>
      </c>
      <c r="N18" s="22" t="s">
        <v>123</v>
      </c>
      <c r="O18" s="23" t="s">
        <v>123</v>
      </c>
    </row>
    <row r="19" spans="1:15" hidden="1" x14ac:dyDescent="0.4">
      <c r="A19" s="5">
        <v>2024</v>
      </c>
      <c r="B19" s="6" t="s">
        <v>236</v>
      </c>
      <c r="C19" s="7" t="s">
        <v>20</v>
      </c>
      <c r="D19" s="7">
        <v>5</v>
      </c>
      <c r="E19" s="7" t="s">
        <v>24</v>
      </c>
      <c r="F19" s="7" t="s">
        <v>237</v>
      </c>
      <c r="G19" s="7" t="s">
        <v>238</v>
      </c>
      <c r="H19" s="7" t="s">
        <v>232</v>
      </c>
      <c r="I19" s="7" t="s">
        <v>233</v>
      </c>
      <c r="J19" s="7" t="s">
        <v>11</v>
      </c>
      <c r="K19" s="8" t="s">
        <v>235</v>
      </c>
      <c r="L19" s="7" t="s">
        <v>234</v>
      </c>
      <c r="M19" s="7" t="s">
        <v>240</v>
      </c>
      <c r="N19" s="9" t="s">
        <v>123</v>
      </c>
      <c r="O19" s="8" t="s">
        <v>239</v>
      </c>
    </row>
    <row r="20" spans="1:15" hidden="1" x14ac:dyDescent="0.4">
      <c r="A20" s="24">
        <v>2024</v>
      </c>
      <c r="B20" s="25" t="s">
        <v>139</v>
      </c>
      <c r="C20" s="26" t="s">
        <v>20</v>
      </c>
      <c r="D20" s="26">
        <v>6</v>
      </c>
      <c r="E20" s="26" t="s">
        <v>25</v>
      </c>
      <c r="F20" s="26" t="s">
        <v>140</v>
      </c>
      <c r="G20" s="26" t="s">
        <v>203</v>
      </c>
      <c r="H20" s="26" t="s">
        <v>141</v>
      </c>
      <c r="I20" s="26" t="s">
        <v>141</v>
      </c>
      <c r="J20" s="26" t="s">
        <v>143</v>
      </c>
      <c r="K20" s="27" t="s">
        <v>12</v>
      </c>
      <c r="L20" s="26" t="s">
        <v>144</v>
      </c>
      <c r="M20" s="26" t="s">
        <v>142</v>
      </c>
      <c r="N20" s="28">
        <v>68.89</v>
      </c>
      <c r="O20" s="29" t="s">
        <v>145</v>
      </c>
    </row>
    <row r="21" spans="1:15" ht="18" hidden="1" x14ac:dyDescent="0.4">
      <c r="A21" s="24">
        <v>2024</v>
      </c>
      <c r="B21" s="25" t="s">
        <v>148</v>
      </c>
      <c r="C21" s="26" t="s">
        <v>20</v>
      </c>
      <c r="D21" s="26">
        <v>6</v>
      </c>
      <c r="E21" s="26" t="s">
        <v>25</v>
      </c>
      <c r="F21" s="26" t="s">
        <v>149</v>
      </c>
      <c r="G21" s="26" t="s">
        <v>202</v>
      </c>
      <c r="H21" s="26" t="s">
        <v>57</v>
      </c>
      <c r="I21" s="26" t="s">
        <v>150</v>
      </c>
      <c r="J21" s="26" t="s">
        <v>11</v>
      </c>
      <c r="K21" s="27" t="s">
        <v>154</v>
      </c>
      <c r="L21" s="26" t="s">
        <v>153</v>
      </c>
      <c r="M21" s="26" t="s">
        <v>156</v>
      </c>
      <c r="N21" s="28">
        <v>6.59</v>
      </c>
      <c r="O21" s="29" t="s">
        <v>155</v>
      </c>
    </row>
    <row r="22" spans="1:15" ht="18" hidden="1" x14ac:dyDescent="0.4">
      <c r="A22" s="24">
        <v>2024</v>
      </c>
      <c r="B22" s="25" t="s">
        <v>147</v>
      </c>
      <c r="C22" s="26" t="s">
        <v>20</v>
      </c>
      <c r="D22" s="26">
        <v>6</v>
      </c>
      <c r="E22" s="26" t="s">
        <v>25</v>
      </c>
      <c r="F22" s="26" t="s">
        <v>149</v>
      </c>
      <c r="G22" s="26" t="s">
        <v>202</v>
      </c>
      <c r="H22" s="26" t="s">
        <v>57</v>
      </c>
      <c r="I22" s="26" t="s">
        <v>150</v>
      </c>
      <c r="J22" s="26" t="s">
        <v>11</v>
      </c>
      <c r="K22" s="27" t="s">
        <v>154</v>
      </c>
      <c r="L22" s="26" t="s">
        <v>151</v>
      </c>
      <c r="M22" s="26" t="s">
        <v>157</v>
      </c>
      <c r="N22" s="28">
        <v>12.02</v>
      </c>
      <c r="O22" s="29" t="s">
        <v>155</v>
      </c>
    </row>
    <row r="23" spans="1:15" ht="18" hidden="1" x14ac:dyDescent="0.4">
      <c r="A23" s="24">
        <v>2024</v>
      </c>
      <c r="B23" s="25" t="s">
        <v>146</v>
      </c>
      <c r="C23" s="26" t="s">
        <v>20</v>
      </c>
      <c r="D23" s="26">
        <v>6</v>
      </c>
      <c r="E23" s="26" t="s">
        <v>25</v>
      </c>
      <c r="F23" s="26" t="s">
        <v>149</v>
      </c>
      <c r="G23" s="26" t="s">
        <v>202</v>
      </c>
      <c r="H23" s="26" t="s">
        <v>57</v>
      </c>
      <c r="I23" s="26" t="s">
        <v>150</v>
      </c>
      <c r="J23" s="26" t="s">
        <v>11</v>
      </c>
      <c r="K23" s="27" t="s">
        <v>154</v>
      </c>
      <c r="L23" s="26" t="s">
        <v>152</v>
      </c>
      <c r="M23" s="26" t="s">
        <v>158</v>
      </c>
      <c r="N23" s="28">
        <v>9.56</v>
      </c>
      <c r="O23" s="29" t="s">
        <v>155</v>
      </c>
    </row>
    <row r="24" spans="1:15" x14ac:dyDescent="0.4">
      <c r="A24" s="24">
        <v>2024</v>
      </c>
      <c r="B24" s="25" t="s">
        <v>48</v>
      </c>
      <c r="C24" s="26" t="s">
        <v>20</v>
      </c>
      <c r="D24" s="26">
        <v>7</v>
      </c>
      <c r="E24" s="26" t="s">
        <v>18</v>
      </c>
      <c r="F24" s="26" t="s">
        <v>37</v>
      </c>
      <c r="G24" s="26" t="s">
        <v>201</v>
      </c>
      <c r="H24" s="26" t="s">
        <v>38</v>
      </c>
      <c r="I24" s="26" t="s">
        <v>40</v>
      </c>
      <c r="J24" s="26" t="s">
        <v>11</v>
      </c>
      <c r="K24" s="27" t="s">
        <v>41</v>
      </c>
      <c r="L24" s="26" t="s">
        <v>45</v>
      </c>
      <c r="M24" s="26" t="s">
        <v>113</v>
      </c>
      <c r="N24" s="28">
        <v>36.78</v>
      </c>
      <c r="O24" s="29" t="s">
        <v>54</v>
      </c>
    </row>
    <row r="25" spans="1:15" x14ac:dyDescent="0.4">
      <c r="A25" s="24">
        <v>2024</v>
      </c>
      <c r="B25" s="25" t="s">
        <v>47</v>
      </c>
      <c r="C25" s="26" t="s">
        <v>20</v>
      </c>
      <c r="D25" s="26">
        <v>7</v>
      </c>
      <c r="E25" s="26" t="s">
        <v>18</v>
      </c>
      <c r="F25" s="26" t="s">
        <v>37</v>
      </c>
      <c r="G25" s="26" t="s">
        <v>200</v>
      </c>
      <c r="H25" s="26" t="s">
        <v>38</v>
      </c>
      <c r="I25" s="26" t="s">
        <v>40</v>
      </c>
      <c r="J25" s="26" t="s">
        <v>11</v>
      </c>
      <c r="K25" s="27" t="s">
        <v>41</v>
      </c>
      <c r="L25" s="26" t="s">
        <v>44</v>
      </c>
      <c r="M25" s="26" t="s">
        <v>112</v>
      </c>
      <c r="N25" s="28">
        <v>34.18</v>
      </c>
      <c r="O25" s="29" t="s">
        <v>54</v>
      </c>
    </row>
    <row r="26" spans="1:15" x14ac:dyDescent="0.4">
      <c r="A26" s="24">
        <v>2024</v>
      </c>
      <c r="B26" s="25" t="s">
        <v>136</v>
      </c>
      <c r="C26" s="26" t="s">
        <v>20</v>
      </c>
      <c r="D26" s="26">
        <v>7</v>
      </c>
      <c r="E26" s="26" t="s">
        <v>18</v>
      </c>
      <c r="F26" s="26" t="s">
        <v>42</v>
      </c>
      <c r="G26" s="26" t="s">
        <v>199</v>
      </c>
      <c r="H26" s="26" t="s">
        <v>38</v>
      </c>
      <c r="I26" s="26" t="s">
        <v>40</v>
      </c>
      <c r="J26" s="26" t="s">
        <v>11</v>
      </c>
      <c r="K26" s="27" t="s">
        <v>12</v>
      </c>
      <c r="L26" s="26" t="s">
        <v>46</v>
      </c>
      <c r="M26" s="26" t="s">
        <v>52</v>
      </c>
      <c r="N26" s="28">
        <v>50.85</v>
      </c>
      <c r="O26" s="29" t="s">
        <v>53</v>
      </c>
    </row>
    <row r="27" spans="1:15" x14ac:dyDescent="0.4">
      <c r="A27" s="24">
        <v>2024</v>
      </c>
      <c r="B27" s="25" t="s">
        <v>137</v>
      </c>
      <c r="C27" s="26" t="s">
        <v>20</v>
      </c>
      <c r="D27" s="26">
        <v>7</v>
      </c>
      <c r="E27" s="26" t="s">
        <v>18</v>
      </c>
      <c r="F27" s="46" t="s">
        <v>336</v>
      </c>
      <c r="G27" s="26" t="s">
        <v>339</v>
      </c>
      <c r="H27" s="26" t="s">
        <v>38</v>
      </c>
      <c r="I27" s="26" t="s">
        <v>40</v>
      </c>
      <c r="J27" s="26" t="s">
        <v>11</v>
      </c>
      <c r="K27" s="27" t="s">
        <v>43</v>
      </c>
      <c r="L27" s="26" t="s">
        <v>49</v>
      </c>
      <c r="M27" s="26" t="s">
        <v>50</v>
      </c>
      <c r="N27" s="28">
        <v>2.1</v>
      </c>
      <c r="O27" s="29" t="s">
        <v>54</v>
      </c>
    </row>
    <row r="28" spans="1:15" x14ac:dyDescent="0.4">
      <c r="A28" s="24">
        <v>2024</v>
      </c>
      <c r="B28" s="25" t="s">
        <v>138</v>
      </c>
      <c r="C28" s="26" t="s">
        <v>20</v>
      </c>
      <c r="D28" s="26">
        <v>7</v>
      </c>
      <c r="E28" s="26" t="s">
        <v>18</v>
      </c>
      <c r="F28" s="26" t="s">
        <v>337</v>
      </c>
      <c r="G28" s="26" t="s">
        <v>338</v>
      </c>
      <c r="H28" s="26" t="s">
        <v>38</v>
      </c>
      <c r="I28" s="26" t="s">
        <v>40</v>
      </c>
      <c r="J28" s="26" t="s">
        <v>11</v>
      </c>
      <c r="K28" s="27" t="s">
        <v>43</v>
      </c>
      <c r="L28" s="26" t="s">
        <v>335</v>
      </c>
      <c r="M28" s="26" t="s">
        <v>51</v>
      </c>
      <c r="N28" s="28">
        <v>4.8899999999999997</v>
      </c>
      <c r="O28" s="29" t="s">
        <v>54</v>
      </c>
    </row>
    <row r="29" spans="1:15" ht="18" hidden="1" x14ac:dyDescent="0.4">
      <c r="A29" s="5">
        <v>2024</v>
      </c>
      <c r="B29" s="6" t="s">
        <v>123</v>
      </c>
      <c r="C29" s="7" t="s">
        <v>20</v>
      </c>
      <c r="D29" s="7">
        <v>8</v>
      </c>
      <c r="E29" s="7" t="s">
        <v>26</v>
      </c>
      <c r="F29" s="7" t="s">
        <v>260</v>
      </c>
      <c r="G29" s="7" t="s">
        <v>261</v>
      </c>
      <c r="H29" s="7" t="s">
        <v>64</v>
      </c>
      <c r="I29" s="7" t="s">
        <v>231</v>
      </c>
      <c r="J29" s="7" t="s">
        <v>11</v>
      </c>
      <c r="K29" s="10" t="s">
        <v>262</v>
      </c>
      <c r="L29" s="7" t="s">
        <v>263</v>
      </c>
      <c r="M29" s="7" t="s">
        <v>264</v>
      </c>
      <c r="N29" s="9" t="s">
        <v>123</v>
      </c>
      <c r="O29" s="8" t="s">
        <v>123</v>
      </c>
    </row>
    <row r="30" spans="1:15" hidden="1" x14ac:dyDescent="0.4">
      <c r="A30" s="5">
        <v>2024</v>
      </c>
      <c r="B30" s="6" t="s">
        <v>123</v>
      </c>
      <c r="C30" s="7" t="s">
        <v>20</v>
      </c>
      <c r="D30" s="7">
        <v>8</v>
      </c>
      <c r="E30" s="7" t="s">
        <v>26</v>
      </c>
      <c r="F30" s="7" t="s">
        <v>265</v>
      </c>
      <c r="G30" s="7" t="s">
        <v>261</v>
      </c>
      <c r="H30" s="7" t="s">
        <v>64</v>
      </c>
      <c r="I30" s="7" t="s">
        <v>231</v>
      </c>
      <c r="J30" s="7" t="s">
        <v>11</v>
      </c>
      <c r="K30" s="10" t="s">
        <v>17</v>
      </c>
      <c r="L30" s="7" t="s">
        <v>283</v>
      </c>
      <c r="M30" s="7" t="s">
        <v>266</v>
      </c>
      <c r="N30" s="9" t="s">
        <v>123</v>
      </c>
      <c r="O30" s="6" t="s">
        <v>123</v>
      </c>
    </row>
    <row r="31" spans="1:15" hidden="1" x14ac:dyDescent="0.4">
      <c r="A31" s="5">
        <v>2024</v>
      </c>
      <c r="B31" s="6" t="s">
        <v>123</v>
      </c>
      <c r="C31" s="7" t="s">
        <v>20</v>
      </c>
      <c r="D31" s="7">
        <v>8</v>
      </c>
      <c r="E31" s="7" t="s">
        <v>26</v>
      </c>
      <c r="F31" s="7" t="s">
        <v>270</v>
      </c>
      <c r="G31" s="7" t="s">
        <v>261</v>
      </c>
      <c r="H31" s="7" t="s">
        <v>64</v>
      </c>
      <c r="I31" s="7" t="s">
        <v>271</v>
      </c>
      <c r="J31" s="7" t="s">
        <v>11</v>
      </c>
      <c r="K31" s="8" t="s">
        <v>272</v>
      </c>
      <c r="L31" s="7" t="s">
        <v>273</v>
      </c>
      <c r="M31" s="7" t="s">
        <v>274</v>
      </c>
      <c r="N31" s="9" t="s">
        <v>123</v>
      </c>
      <c r="O31" s="6" t="s">
        <v>275</v>
      </c>
    </row>
    <row r="32" spans="1:15" hidden="1" x14ac:dyDescent="0.4">
      <c r="A32" s="5">
        <v>2024</v>
      </c>
      <c r="B32" s="6" t="s">
        <v>123</v>
      </c>
      <c r="C32" s="7" t="s">
        <v>20</v>
      </c>
      <c r="D32" s="7">
        <v>8</v>
      </c>
      <c r="E32" s="7" t="s">
        <v>26</v>
      </c>
      <c r="F32" s="7" t="s">
        <v>276</v>
      </c>
      <c r="G32" s="7" t="s">
        <v>261</v>
      </c>
      <c r="H32" s="7" t="s">
        <v>64</v>
      </c>
      <c r="I32" s="7" t="s">
        <v>231</v>
      </c>
      <c r="J32" s="7" t="s">
        <v>11</v>
      </c>
      <c r="K32" s="10" t="s">
        <v>123</v>
      </c>
      <c r="L32" s="7" t="s">
        <v>278</v>
      </c>
      <c r="M32" s="7" t="s">
        <v>277</v>
      </c>
      <c r="N32" s="9" t="s">
        <v>123</v>
      </c>
      <c r="O32" s="6" t="s">
        <v>279</v>
      </c>
    </row>
    <row r="33" spans="1:15" hidden="1" x14ac:dyDescent="0.4">
      <c r="A33" s="24">
        <v>2024</v>
      </c>
      <c r="B33" s="25" t="s">
        <v>123</v>
      </c>
      <c r="C33" s="26" t="s">
        <v>20</v>
      </c>
      <c r="D33" s="26">
        <v>9</v>
      </c>
      <c r="E33" s="26" t="s">
        <v>27</v>
      </c>
      <c r="F33" s="26" t="s">
        <v>250</v>
      </c>
      <c r="G33" s="26" t="s">
        <v>251</v>
      </c>
      <c r="H33" s="26" t="s">
        <v>252</v>
      </c>
      <c r="I33" s="26" t="s">
        <v>182</v>
      </c>
      <c r="J33" s="26" t="s">
        <v>11</v>
      </c>
      <c r="K33" s="27" t="s">
        <v>12</v>
      </c>
      <c r="L33" s="26" t="s">
        <v>253</v>
      </c>
      <c r="M33" s="26" t="s">
        <v>254</v>
      </c>
      <c r="N33" s="30">
        <v>45</v>
      </c>
      <c r="O33" s="29" t="s">
        <v>255</v>
      </c>
    </row>
    <row r="34" spans="1:15" hidden="1" x14ac:dyDescent="0.4">
      <c r="A34" s="24">
        <v>2024</v>
      </c>
      <c r="B34" s="25" t="s">
        <v>333</v>
      </c>
      <c r="C34" s="26" t="s">
        <v>28</v>
      </c>
      <c r="D34" s="26">
        <v>10</v>
      </c>
      <c r="E34" s="26" t="s">
        <v>29</v>
      </c>
      <c r="F34" s="26" t="s">
        <v>164</v>
      </c>
      <c r="G34" s="26" t="s">
        <v>198</v>
      </c>
      <c r="H34" s="26" t="s">
        <v>64</v>
      </c>
      <c r="I34" s="26" t="s">
        <v>166</v>
      </c>
      <c r="J34" s="26" t="s">
        <v>11</v>
      </c>
      <c r="K34" s="27" t="s">
        <v>12</v>
      </c>
      <c r="L34" s="26" t="s">
        <v>167</v>
      </c>
      <c r="M34" s="26" t="s">
        <v>169</v>
      </c>
      <c r="N34" s="28">
        <v>82.11</v>
      </c>
      <c r="O34" s="29" t="s">
        <v>171</v>
      </c>
    </row>
    <row r="35" spans="1:15" hidden="1" x14ac:dyDescent="0.4">
      <c r="A35" s="24">
        <v>2024</v>
      </c>
      <c r="B35" s="25" t="s">
        <v>334</v>
      </c>
      <c r="C35" s="26" t="s">
        <v>28</v>
      </c>
      <c r="D35" s="26">
        <v>10</v>
      </c>
      <c r="E35" s="26" t="s">
        <v>29</v>
      </c>
      <c r="F35" s="26" t="s">
        <v>165</v>
      </c>
      <c r="G35" s="26" t="s">
        <v>198</v>
      </c>
      <c r="H35" s="26" t="s">
        <v>64</v>
      </c>
      <c r="I35" s="26" t="s">
        <v>166</v>
      </c>
      <c r="J35" s="26" t="s">
        <v>11</v>
      </c>
      <c r="K35" s="27" t="s">
        <v>12</v>
      </c>
      <c r="L35" s="26" t="s">
        <v>168</v>
      </c>
      <c r="M35" s="26" t="s">
        <v>170</v>
      </c>
      <c r="N35" s="28">
        <v>17.89</v>
      </c>
      <c r="O35" s="29" t="s">
        <v>172</v>
      </c>
    </row>
    <row r="36" spans="1:15" hidden="1" x14ac:dyDescent="0.4">
      <c r="A36" s="18">
        <v>2024</v>
      </c>
      <c r="B36" s="19" t="s">
        <v>123</v>
      </c>
      <c r="C36" s="20" t="s">
        <v>28</v>
      </c>
      <c r="D36" s="20">
        <v>11</v>
      </c>
      <c r="E36" s="20" t="s">
        <v>215</v>
      </c>
      <c r="F36" s="20" t="s">
        <v>123</v>
      </c>
      <c r="G36" s="20" t="s">
        <v>123</v>
      </c>
      <c r="H36" s="20" t="s">
        <v>123</v>
      </c>
      <c r="I36" s="20" t="s">
        <v>123</v>
      </c>
      <c r="J36" s="20" t="s">
        <v>123</v>
      </c>
      <c r="K36" s="21" t="s">
        <v>123</v>
      </c>
      <c r="L36" s="20" t="s">
        <v>123</v>
      </c>
      <c r="M36" s="20" t="s">
        <v>123</v>
      </c>
      <c r="N36" s="22" t="s">
        <v>123</v>
      </c>
      <c r="O36" s="23" t="s">
        <v>123</v>
      </c>
    </row>
    <row r="37" spans="1:15" hidden="1" x14ac:dyDescent="0.4">
      <c r="A37" s="18">
        <v>2024</v>
      </c>
      <c r="B37" s="19" t="s">
        <v>123</v>
      </c>
      <c r="C37" s="20" t="s">
        <v>28</v>
      </c>
      <c r="D37" s="20">
        <v>12</v>
      </c>
      <c r="E37" s="20" t="s">
        <v>216</v>
      </c>
      <c r="F37" s="20" t="s">
        <v>123</v>
      </c>
      <c r="G37" s="20" t="s">
        <v>123</v>
      </c>
      <c r="H37" s="20" t="s">
        <v>123</v>
      </c>
      <c r="I37" s="20" t="s">
        <v>123</v>
      </c>
      <c r="J37" s="20" t="s">
        <v>123</v>
      </c>
      <c r="K37" s="21" t="s">
        <v>123</v>
      </c>
      <c r="L37" s="20" t="s">
        <v>123</v>
      </c>
      <c r="M37" s="20" t="s">
        <v>123</v>
      </c>
      <c r="N37" s="22" t="s">
        <v>123</v>
      </c>
      <c r="O37" s="23" t="s">
        <v>123</v>
      </c>
    </row>
    <row r="38" spans="1:15" hidden="1" x14ac:dyDescent="0.4">
      <c r="A38" s="24">
        <v>2024</v>
      </c>
      <c r="B38" s="25" t="s">
        <v>86</v>
      </c>
      <c r="C38" s="26" t="s">
        <v>28</v>
      </c>
      <c r="D38" s="26">
        <v>13</v>
      </c>
      <c r="E38" s="26" t="s">
        <v>30</v>
      </c>
      <c r="F38" s="26" t="s">
        <v>87</v>
      </c>
      <c r="G38" s="26" t="s">
        <v>217</v>
      </c>
      <c r="H38" s="26" t="s">
        <v>82</v>
      </c>
      <c r="I38" s="26" t="s">
        <v>90</v>
      </c>
      <c r="J38" s="26" t="s">
        <v>11</v>
      </c>
      <c r="K38" s="27" t="s">
        <v>88</v>
      </c>
      <c r="L38" s="26" t="s">
        <v>89</v>
      </c>
      <c r="M38" s="26" t="s">
        <v>111</v>
      </c>
      <c r="N38" s="28">
        <v>49.16</v>
      </c>
      <c r="O38" s="29" t="s">
        <v>91</v>
      </c>
    </row>
    <row r="39" spans="1:15" hidden="1" x14ac:dyDescent="0.4">
      <c r="A39" s="24">
        <v>2024</v>
      </c>
      <c r="B39" s="25" t="s">
        <v>100</v>
      </c>
      <c r="C39" s="26" t="s">
        <v>28</v>
      </c>
      <c r="D39" s="26">
        <v>13</v>
      </c>
      <c r="E39" s="26" t="s">
        <v>30</v>
      </c>
      <c r="F39" s="26" t="s">
        <v>95</v>
      </c>
      <c r="G39" s="26" t="s">
        <v>197</v>
      </c>
      <c r="H39" s="26" t="s">
        <v>92</v>
      </c>
      <c r="I39" s="26" t="s">
        <v>106</v>
      </c>
      <c r="J39" s="26" t="s">
        <v>11</v>
      </c>
      <c r="K39" s="27" t="s">
        <v>12</v>
      </c>
      <c r="L39" s="26" t="s">
        <v>94</v>
      </c>
      <c r="M39" s="26" t="s">
        <v>110</v>
      </c>
      <c r="N39" s="28">
        <v>37.65</v>
      </c>
      <c r="O39" s="43" t="s">
        <v>99</v>
      </c>
    </row>
    <row r="40" spans="1:15" hidden="1" x14ac:dyDescent="0.4">
      <c r="A40" s="24">
        <v>2024</v>
      </c>
      <c r="B40" s="25" t="s">
        <v>101</v>
      </c>
      <c r="C40" s="26" t="s">
        <v>28</v>
      </c>
      <c r="D40" s="26">
        <v>13</v>
      </c>
      <c r="E40" s="26" t="s">
        <v>30</v>
      </c>
      <c r="F40" s="26" t="s">
        <v>96</v>
      </c>
      <c r="G40" s="26" t="s">
        <v>197</v>
      </c>
      <c r="H40" s="26" t="s">
        <v>92</v>
      </c>
      <c r="I40" s="26" t="s">
        <v>106</v>
      </c>
      <c r="J40" s="26" t="s">
        <v>11</v>
      </c>
      <c r="K40" s="27" t="s">
        <v>12</v>
      </c>
      <c r="L40" s="26" t="s">
        <v>97</v>
      </c>
      <c r="M40" s="26" t="s">
        <v>109</v>
      </c>
      <c r="N40" s="28">
        <v>32.590000000000003</v>
      </c>
      <c r="O40" s="43" t="s">
        <v>98</v>
      </c>
    </row>
    <row r="41" spans="1:15" hidden="1" x14ac:dyDescent="0.4">
      <c r="A41" s="24">
        <v>2024</v>
      </c>
      <c r="B41" s="25" t="s">
        <v>102</v>
      </c>
      <c r="C41" s="26" t="s">
        <v>28</v>
      </c>
      <c r="D41" s="26">
        <v>13</v>
      </c>
      <c r="E41" s="26" t="s">
        <v>30</v>
      </c>
      <c r="F41" s="26" t="s">
        <v>103</v>
      </c>
      <c r="G41" s="26" t="s">
        <v>196</v>
      </c>
      <c r="H41" s="26" t="s">
        <v>104</v>
      </c>
      <c r="I41" s="26" t="s">
        <v>105</v>
      </c>
      <c r="J41" s="26" t="s">
        <v>11</v>
      </c>
      <c r="K41" s="27" t="s">
        <v>12</v>
      </c>
      <c r="L41" s="26" t="s">
        <v>107</v>
      </c>
      <c r="M41" s="26" t="s">
        <v>108</v>
      </c>
      <c r="N41" s="30">
        <v>70</v>
      </c>
      <c r="O41" s="31" t="s">
        <v>118</v>
      </c>
    </row>
    <row r="42" spans="1:15" hidden="1" x14ac:dyDescent="0.4">
      <c r="A42" s="24">
        <v>2024</v>
      </c>
      <c r="B42" s="25" t="s">
        <v>225</v>
      </c>
      <c r="C42" s="26" t="s">
        <v>28</v>
      </c>
      <c r="D42" s="26">
        <v>14</v>
      </c>
      <c r="E42" s="26" t="s">
        <v>31</v>
      </c>
      <c r="F42" s="26" t="s">
        <v>193</v>
      </c>
      <c r="G42" s="26" t="s">
        <v>227</v>
      </c>
      <c r="H42" s="26" t="s">
        <v>181</v>
      </c>
      <c r="I42" s="26" t="s">
        <v>182</v>
      </c>
      <c r="J42" s="26" t="s">
        <v>11</v>
      </c>
      <c r="K42" s="27" t="s">
        <v>12</v>
      </c>
      <c r="L42" s="26" t="s">
        <v>192</v>
      </c>
      <c r="M42" s="26" t="s">
        <v>229</v>
      </c>
      <c r="N42" s="30">
        <v>18</v>
      </c>
      <c r="O42" s="29" t="s">
        <v>230</v>
      </c>
    </row>
    <row r="43" spans="1:15" hidden="1" x14ac:dyDescent="0.4">
      <c r="A43" s="24">
        <v>2024</v>
      </c>
      <c r="B43" s="25" t="s">
        <v>218</v>
      </c>
      <c r="C43" s="26" t="s">
        <v>28</v>
      </c>
      <c r="D43" s="26">
        <v>15</v>
      </c>
      <c r="E43" s="26" t="s">
        <v>32</v>
      </c>
      <c r="F43" s="26" t="s">
        <v>223</v>
      </c>
      <c r="G43" s="26" t="s">
        <v>195</v>
      </c>
      <c r="H43" s="26" t="s">
        <v>64</v>
      </c>
      <c r="I43" s="26" t="s">
        <v>120</v>
      </c>
      <c r="J43" s="26" t="s">
        <v>11</v>
      </c>
      <c r="K43" s="27" t="s">
        <v>12</v>
      </c>
      <c r="L43" s="26" t="s">
        <v>121</v>
      </c>
      <c r="M43" s="26" t="s">
        <v>220</v>
      </c>
      <c r="N43" s="30">
        <v>94</v>
      </c>
      <c r="O43" s="29" t="s">
        <v>224</v>
      </c>
    </row>
    <row r="44" spans="1:15" hidden="1" x14ac:dyDescent="0.4">
      <c r="A44" s="24">
        <v>2024</v>
      </c>
      <c r="B44" s="25" t="s">
        <v>219</v>
      </c>
      <c r="C44" s="26" t="s">
        <v>28</v>
      </c>
      <c r="D44" s="26">
        <v>15</v>
      </c>
      <c r="E44" s="26" t="s">
        <v>32</v>
      </c>
      <c r="F44" s="26" t="s">
        <v>222</v>
      </c>
      <c r="G44" s="26" t="s">
        <v>195</v>
      </c>
      <c r="H44" s="26" t="s">
        <v>64</v>
      </c>
      <c r="I44" s="26" t="s">
        <v>120</v>
      </c>
      <c r="J44" s="26" t="s">
        <v>11</v>
      </c>
      <c r="K44" s="27" t="s">
        <v>12</v>
      </c>
      <c r="L44" s="26" t="s">
        <v>121</v>
      </c>
      <c r="M44" s="26" t="s">
        <v>221</v>
      </c>
      <c r="N44" s="30">
        <v>6</v>
      </c>
      <c r="O44" s="29" t="s">
        <v>224</v>
      </c>
    </row>
    <row r="45" spans="1:15" hidden="1" x14ac:dyDescent="0.4">
      <c r="A45" s="24">
        <v>2024</v>
      </c>
      <c r="B45" s="25" t="s">
        <v>119</v>
      </c>
      <c r="C45" s="26" t="s">
        <v>28</v>
      </c>
      <c r="D45" s="26">
        <v>15</v>
      </c>
      <c r="E45" s="26" t="s">
        <v>32</v>
      </c>
      <c r="F45" s="26" t="s">
        <v>132</v>
      </c>
      <c r="G45" s="26" t="s">
        <v>195</v>
      </c>
      <c r="H45" s="26" t="s">
        <v>64</v>
      </c>
      <c r="I45" s="26" t="s">
        <v>120</v>
      </c>
      <c r="J45" s="26" t="s">
        <v>11</v>
      </c>
      <c r="K45" s="27" t="s">
        <v>122</v>
      </c>
      <c r="L45" s="26" t="s">
        <v>133</v>
      </c>
      <c r="M45" s="26"/>
      <c r="N45" s="32">
        <v>737000000</v>
      </c>
      <c r="O45" s="29" t="s">
        <v>134</v>
      </c>
    </row>
    <row r="46" spans="1:15" hidden="1" x14ac:dyDescent="0.4">
      <c r="A46" s="24">
        <v>2024</v>
      </c>
      <c r="B46" s="25" t="s">
        <v>125</v>
      </c>
      <c r="C46" s="26" t="s">
        <v>28</v>
      </c>
      <c r="D46" s="26">
        <v>15</v>
      </c>
      <c r="E46" s="26" t="s">
        <v>32</v>
      </c>
      <c r="F46" s="26" t="s">
        <v>126</v>
      </c>
      <c r="G46" s="26" t="s">
        <v>195</v>
      </c>
      <c r="H46" s="26" t="s">
        <v>64</v>
      </c>
      <c r="I46" s="26" t="s">
        <v>120</v>
      </c>
      <c r="J46" s="26" t="s">
        <v>11</v>
      </c>
      <c r="K46" s="27" t="s">
        <v>122</v>
      </c>
      <c r="L46" s="26" t="s">
        <v>128</v>
      </c>
      <c r="M46" s="26" t="s">
        <v>130</v>
      </c>
      <c r="N46" s="32">
        <v>575000000</v>
      </c>
      <c r="O46" s="29" t="s">
        <v>135</v>
      </c>
    </row>
    <row r="47" spans="1:15" hidden="1" x14ac:dyDescent="0.4">
      <c r="A47" s="24">
        <v>2024</v>
      </c>
      <c r="B47" s="25" t="s">
        <v>124</v>
      </c>
      <c r="C47" s="26" t="s">
        <v>28</v>
      </c>
      <c r="D47" s="26">
        <v>15</v>
      </c>
      <c r="E47" s="26" t="s">
        <v>32</v>
      </c>
      <c r="F47" s="26" t="s">
        <v>127</v>
      </c>
      <c r="G47" s="26" t="s">
        <v>195</v>
      </c>
      <c r="H47" s="26" t="s">
        <v>64</v>
      </c>
      <c r="I47" s="26" t="s">
        <v>120</v>
      </c>
      <c r="J47" s="26" t="s">
        <v>11</v>
      </c>
      <c r="K47" s="27" t="s">
        <v>122</v>
      </c>
      <c r="L47" s="26" t="s">
        <v>129</v>
      </c>
      <c r="M47" s="26" t="s">
        <v>131</v>
      </c>
      <c r="N47" s="32">
        <v>162000000</v>
      </c>
      <c r="O47" s="29" t="s">
        <v>135</v>
      </c>
    </row>
    <row r="48" spans="1:15" ht="16.8" hidden="1" customHeight="1" x14ac:dyDescent="0.4">
      <c r="A48" s="5">
        <v>2024</v>
      </c>
      <c r="B48" s="6" t="s">
        <v>123</v>
      </c>
      <c r="C48" s="7" t="s">
        <v>28</v>
      </c>
      <c r="D48" s="7">
        <v>16</v>
      </c>
      <c r="E48" s="7" t="s">
        <v>33</v>
      </c>
      <c r="F48" s="7" t="s">
        <v>244</v>
      </c>
      <c r="G48" s="7" t="s">
        <v>241</v>
      </c>
      <c r="H48" s="7" t="s">
        <v>242</v>
      </c>
      <c r="I48" s="7" t="s">
        <v>246</v>
      </c>
      <c r="J48" s="7" t="s">
        <v>11</v>
      </c>
      <c r="K48" s="10" t="s">
        <v>123</v>
      </c>
      <c r="L48" s="12" t="s">
        <v>247</v>
      </c>
      <c r="M48" s="7" t="s">
        <v>243</v>
      </c>
      <c r="N48" s="9" t="s">
        <v>123</v>
      </c>
      <c r="O48" s="8" t="s">
        <v>249</v>
      </c>
    </row>
    <row r="49" spans="1:15" ht="16.8" hidden="1" customHeight="1" x14ac:dyDescent="0.4">
      <c r="A49" s="5">
        <v>2024</v>
      </c>
      <c r="B49" s="6" t="s">
        <v>123</v>
      </c>
      <c r="C49" s="7" t="s">
        <v>28</v>
      </c>
      <c r="D49" s="7">
        <v>16</v>
      </c>
      <c r="E49" s="7" t="s">
        <v>33</v>
      </c>
      <c r="F49" s="7" t="s">
        <v>245</v>
      </c>
      <c r="G49" s="7" t="s">
        <v>241</v>
      </c>
      <c r="H49" s="7" t="s">
        <v>242</v>
      </c>
      <c r="I49" s="7" t="s">
        <v>246</v>
      </c>
      <c r="J49" s="7" t="s">
        <v>11</v>
      </c>
      <c r="K49" s="10" t="s">
        <v>17</v>
      </c>
      <c r="L49" s="12" t="s">
        <v>248</v>
      </c>
      <c r="M49" s="7" t="s">
        <v>243</v>
      </c>
      <c r="N49" s="9"/>
      <c r="O49" s="8" t="s">
        <v>249</v>
      </c>
    </row>
    <row r="50" spans="1:15" hidden="1" x14ac:dyDescent="0.4">
      <c r="A50" s="24">
        <v>2024</v>
      </c>
      <c r="B50" s="25" t="s">
        <v>191</v>
      </c>
      <c r="C50" s="26" t="s">
        <v>28</v>
      </c>
      <c r="D50" s="26">
        <v>17</v>
      </c>
      <c r="E50" s="26" t="s">
        <v>34</v>
      </c>
      <c r="F50" s="26" t="s">
        <v>226</v>
      </c>
      <c r="G50" s="26" t="s">
        <v>194</v>
      </c>
      <c r="H50" s="26" t="s">
        <v>181</v>
      </c>
      <c r="I50" s="26" t="s">
        <v>182</v>
      </c>
      <c r="J50" s="26" t="s">
        <v>11</v>
      </c>
      <c r="K50" s="27" t="s">
        <v>12</v>
      </c>
      <c r="L50" s="26" t="s">
        <v>228</v>
      </c>
      <c r="M50" s="26" t="s">
        <v>210</v>
      </c>
      <c r="N50" s="30">
        <v>9</v>
      </c>
      <c r="O50" s="29" t="s">
        <v>230</v>
      </c>
    </row>
    <row r="51" spans="1:15" hidden="1" x14ac:dyDescent="0.4">
      <c r="A51" s="5">
        <v>2024</v>
      </c>
      <c r="B51" s="6" t="s">
        <v>123</v>
      </c>
      <c r="C51" s="7" t="s">
        <v>28</v>
      </c>
      <c r="D51" s="7">
        <v>18</v>
      </c>
      <c r="E51" s="7" t="s">
        <v>35</v>
      </c>
      <c r="F51" s="7" t="s">
        <v>256</v>
      </c>
      <c r="G51" s="7" t="s">
        <v>241</v>
      </c>
      <c r="H51" s="7" t="s">
        <v>64</v>
      </c>
      <c r="I51" s="7" t="s">
        <v>166</v>
      </c>
      <c r="J51" s="7" t="s">
        <v>11</v>
      </c>
      <c r="K51" s="10" t="s">
        <v>12</v>
      </c>
      <c r="L51" s="7" t="s">
        <v>257</v>
      </c>
      <c r="M51" s="7" t="s">
        <v>258</v>
      </c>
      <c r="N51" s="9" t="s">
        <v>123</v>
      </c>
      <c r="O51" s="8" t="s">
        <v>259</v>
      </c>
    </row>
    <row r="52" spans="1:15" hidden="1" x14ac:dyDescent="0.4">
      <c r="A52" s="13">
        <v>2024</v>
      </c>
      <c r="B52" s="14" t="s">
        <v>123</v>
      </c>
      <c r="C52" s="7" t="s">
        <v>28</v>
      </c>
      <c r="D52" s="7">
        <v>18</v>
      </c>
      <c r="E52" s="7" t="s">
        <v>35</v>
      </c>
      <c r="F52" s="15" t="s">
        <v>267</v>
      </c>
      <c r="G52" s="7" t="s">
        <v>241</v>
      </c>
      <c r="H52" s="7" t="s">
        <v>64</v>
      </c>
      <c r="I52" s="7" t="s">
        <v>166</v>
      </c>
      <c r="J52" s="7" t="s">
        <v>11</v>
      </c>
      <c r="K52" s="10" t="s">
        <v>12</v>
      </c>
      <c r="L52" s="15" t="s">
        <v>268</v>
      </c>
      <c r="M52" s="15" t="s">
        <v>269</v>
      </c>
      <c r="N52" s="16" t="s">
        <v>123</v>
      </c>
      <c r="O52" s="8" t="s">
        <v>259</v>
      </c>
    </row>
  </sheetData>
  <phoneticPr fontId="5" type="noConversion"/>
  <hyperlinks>
    <hyperlink ref="O13" r:id="rId1" display="https://www.seg-social.es/wps/portal/wss/internet/EstadisticasPresupuestosEstudios/Estadisticas/EST8/EST10/EST305/c43ad8ea-fe79-4329-ac8e-e5758f3c4d7a/f83fe4aa-2dee-49c5-8317-98d105813796" xr:uid="{61128FB4-53B2-4EAF-8DD6-669E31DEF896}"/>
    <hyperlink ref="O40" r:id="rId2" display="https://www.seg-social.es/wps/portal/wss/internet/EstadisticasPresupuestosEstudios/Estadisticas/EST8/EST10/EST305/c43ad8ea-fe79-4329-ac8e-e5758f3c4d7a/f83fe4aa-2dee-49c5-8317-98d105813796" xr:uid="{AAB67715-CF03-4157-B01F-134351755964}"/>
  </hyperlinks>
  <pageMargins left="0.7" right="0.7" top="0.75" bottom="0.75" header="0.3" footer="0.3"/>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ED0A-25CC-4F44-8BB6-466A1E19CCCF}">
  <dimension ref="A1:U21"/>
  <sheetViews>
    <sheetView workbookViewId="0">
      <selection activeCell="D2" sqref="D2"/>
    </sheetView>
  </sheetViews>
  <sheetFormatPr baseColWidth="10" defaultRowHeight="14.4" x14ac:dyDescent="0.3"/>
  <cols>
    <col min="3" max="3" width="11.5546875" customWidth="1"/>
    <col min="4" max="4" width="46.5546875" bestFit="1" customWidth="1"/>
    <col min="5" max="5" width="46" bestFit="1" customWidth="1"/>
    <col min="6" max="6" width="16.5546875" bestFit="1" customWidth="1"/>
    <col min="7" max="7" width="48.21875" bestFit="1" customWidth="1"/>
    <col min="8" max="8" width="50" customWidth="1"/>
  </cols>
  <sheetData>
    <row r="1" spans="1:8" ht="16.2" customHeight="1" x14ac:dyDescent="0.3">
      <c r="A1" t="s">
        <v>301</v>
      </c>
      <c r="B1" t="s">
        <v>328</v>
      </c>
      <c r="C1" t="s">
        <v>0</v>
      </c>
      <c r="D1" t="s">
        <v>332</v>
      </c>
      <c r="E1" t="s">
        <v>331</v>
      </c>
      <c r="F1" t="s">
        <v>302</v>
      </c>
      <c r="G1" t="s">
        <v>330</v>
      </c>
      <c r="H1" t="s">
        <v>329</v>
      </c>
    </row>
    <row r="2" spans="1:8" x14ac:dyDescent="0.3">
      <c r="A2" t="s">
        <v>289</v>
      </c>
      <c r="B2">
        <v>1</v>
      </c>
      <c r="C2">
        <v>2024</v>
      </c>
      <c r="D2" s="35">
        <v>13510</v>
      </c>
      <c r="E2" s="35">
        <v>12491</v>
      </c>
      <c r="F2" s="35">
        <v>26001</v>
      </c>
      <c r="G2" s="36">
        <v>5.4483715378038751</v>
      </c>
      <c r="H2" s="36">
        <v>4.0201603429575581</v>
      </c>
    </row>
    <row r="3" spans="1:8" x14ac:dyDescent="0.3">
      <c r="A3" t="s">
        <v>290</v>
      </c>
      <c r="B3">
        <v>2</v>
      </c>
      <c r="C3">
        <v>2024</v>
      </c>
      <c r="D3" s="35">
        <v>12883</v>
      </c>
      <c r="E3" s="35">
        <v>10390</v>
      </c>
      <c r="F3" s="35">
        <v>23273</v>
      </c>
      <c r="G3" s="36">
        <v>5.1955122517784842</v>
      </c>
      <c r="H3" s="36">
        <v>3.3439649318172311</v>
      </c>
    </row>
    <row r="4" spans="1:8" x14ac:dyDescent="0.3">
      <c r="A4" t="s">
        <v>291</v>
      </c>
      <c r="B4">
        <v>3</v>
      </c>
      <c r="C4">
        <v>2024</v>
      </c>
      <c r="D4" s="35">
        <v>16076</v>
      </c>
      <c r="E4" s="35">
        <v>17411</v>
      </c>
      <c r="F4" s="35">
        <v>33487</v>
      </c>
      <c r="G4" s="36">
        <v>6.4831991740736559</v>
      </c>
      <c r="H4" s="36">
        <v>5.6036355560991149</v>
      </c>
    </row>
    <row r="5" spans="1:8" x14ac:dyDescent="0.3">
      <c r="A5" t="s">
        <v>292</v>
      </c>
      <c r="B5">
        <v>4</v>
      </c>
      <c r="C5">
        <v>2024</v>
      </c>
      <c r="D5" s="35">
        <v>19391</v>
      </c>
      <c r="E5" s="35">
        <v>19604</v>
      </c>
      <c r="F5" s="35">
        <v>38995</v>
      </c>
      <c r="G5" s="36">
        <v>7.8200867867916308</v>
      </c>
      <c r="H5" s="36">
        <v>6.3094406663469673</v>
      </c>
    </row>
    <row r="6" spans="1:8" x14ac:dyDescent="0.3">
      <c r="A6" t="s">
        <v>293</v>
      </c>
      <c r="B6">
        <v>5</v>
      </c>
      <c r="C6">
        <v>2024</v>
      </c>
      <c r="D6" s="35">
        <v>21886</v>
      </c>
      <c r="E6" s="35">
        <v>22453</v>
      </c>
      <c r="F6" s="35">
        <v>44339</v>
      </c>
      <c r="G6" s="36">
        <v>8.8262812343727308</v>
      </c>
      <c r="H6" s="36">
        <v>7.2263758050136948</v>
      </c>
    </row>
    <row r="7" spans="1:8" x14ac:dyDescent="0.3">
      <c r="A7" t="s">
        <v>294</v>
      </c>
      <c r="B7">
        <v>6</v>
      </c>
      <c r="C7">
        <v>2024</v>
      </c>
      <c r="D7" s="35">
        <v>23792</v>
      </c>
      <c r="E7" s="35">
        <v>30465</v>
      </c>
      <c r="F7" s="35">
        <v>54257</v>
      </c>
      <c r="G7" s="36">
        <v>9.5949412011421007</v>
      </c>
      <c r="H7" s="36">
        <v>9.804994383812506</v>
      </c>
    </row>
    <row r="8" spans="1:8" x14ac:dyDescent="0.3">
      <c r="A8" t="s">
        <v>295</v>
      </c>
      <c r="B8">
        <v>7</v>
      </c>
      <c r="C8">
        <v>2024</v>
      </c>
      <c r="D8" s="35">
        <v>28131</v>
      </c>
      <c r="E8" s="35">
        <v>56327</v>
      </c>
      <c r="F8" s="35">
        <v>84458</v>
      </c>
      <c r="G8" s="36">
        <v>11.344791985933442</v>
      </c>
      <c r="H8" s="36">
        <v>18.128538278582209</v>
      </c>
    </row>
    <row r="9" spans="1:8" x14ac:dyDescent="0.3">
      <c r="A9" t="s">
        <v>296</v>
      </c>
      <c r="B9">
        <v>8</v>
      </c>
      <c r="C9">
        <v>2024</v>
      </c>
      <c r="D9" s="35">
        <v>33332</v>
      </c>
      <c r="E9" s="35">
        <v>68733</v>
      </c>
      <c r="F9" s="35">
        <v>102065</v>
      </c>
      <c r="G9" s="36">
        <v>13.44227387846623</v>
      </c>
      <c r="H9" s="36">
        <v>22.121341834320859</v>
      </c>
    </row>
    <row r="10" spans="1:8" x14ac:dyDescent="0.3">
      <c r="A10" t="s">
        <v>297</v>
      </c>
      <c r="B10">
        <v>9</v>
      </c>
      <c r="C10">
        <v>2024</v>
      </c>
      <c r="D10" s="35">
        <v>26236</v>
      </c>
      <c r="E10" s="35">
        <v>35212</v>
      </c>
      <c r="F10" s="35">
        <v>61448</v>
      </c>
      <c r="G10" s="36">
        <v>10.580568146989078</v>
      </c>
      <c r="H10" s="36">
        <v>11.332790488849696</v>
      </c>
    </row>
    <row r="11" spans="1:8" x14ac:dyDescent="0.3">
      <c r="A11" t="s">
        <v>298</v>
      </c>
      <c r="B11">
        <v>10</v>
      </c>
      <c r="C11">
        <v>2024</v>
      </c>
      <c r="D11" s="35">
        <v>26518</v>
      </c>
      <c r="E11" s="35">
        <v>13838</v>
      </c>
      <c r="F11" s="35">
        <v>40356</v>
      </c>
      <c r="G11" s="36">
        <v>10.694294333048346</v>
      </c>
      <c r="H11" s="36">
        <v>4.4536849592383874</v>
      </c>
    </row>
    <row r="12" spans="1:8" x14ac:dyDescent="0.3">
      <c r="A12" t="s">
        <v>299</v>
      </c>
      <c r="B12">
        <v>11</v>
      </c>
      <c r="C12">
        <v>2024</v>
      </c>
      <c r="D12" s="35">
        <v>14261</v>
      </c>
      <c r="E12" s="35">
        <v>9723</v>
      </c>
      <c r="F12" s="35">
        <v>23984</v>
      </c>
      <c r="G12" s="36">
        <v>5.7512380829475243</v>
      </c>
      <c r="H12" s="36">
        <v>3.1292946132876742</v>
      </c>
    </row>
    <row r="13" spans="1:8" x14ac:dyDescent="0.3">
      <c r="A13" t="s">
        <v>300</v>
      </c>
      <c r="B13">
        <v>12</v>
      </c>
      <c r="C13">
        <v>2024</v>
      </c>
      <c r="D13" s="35">
        <v>11948</v>
      </c>
      <c r="E13" s="35">
        <v>14062</v>
      </c>
      <c r="F13" s="35">
        <v>26010</v>
      </c>
      <c r="G13" s="36">
        <v>4.8184413866529017</v>
      </c>
      <c r="H13" s="36">
        <v>4.5257781396741006</v>
      </c>
    </row>
    <row r="19" spans="9:21" x14ac:dyDescent="0.3">
      <c r="J19" s="36"/>
      <c r="K19" s="36"/>
      <c r="L19" s="36"/>
      <c r="M19" s="36"/>
      <c r="N19" s="36"/>
      <c r="O19" s="36"/>
      <c r="P19" s="36"/>
      <c r="Q19" s="36"/>
      <c r="R19" s="36"/>
      <c r="S19" s="36"/>
      <c r="T19" s="36"/>
      <c r="U19" s="36"/>
    </row>
    <row r="21" spans="9:21" x14ac:dyDescent="0.3">
      <c r="I21" s="36"/>
      <c r="J21" s="36"/>
      <c r="K21" s="36"/>
      <c r="L21" s="36"/>
      <c r="M21" s="36"/>
      <c r="N21" s="36"/>
      <c r="O21" s="36"/>
      <c r="P21" s="36"/>
      <c r="Q21" s="36"/>
      <c r="R21" s="36"/>
      <c r="S21" s="36"/>
      <c r="T21" s="36"/>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C554-F0D1-4112-A73F-B045E44D6413}">
  <dimension ref="A1:H9"/>
  <sheetViews>
    <sheetView workbookViewId="0">
      <selection activeCell="H9" sqref="H9"/>
    </sheetView>
  </sheetViews>
  <sheetFormatPr baseColWidth="10" defaultRowHeight="14.4" x14ac:dyDescent="0.3"/>
  <cols>
    <col min="1" max="2" width="23.44140625" customWidth="1"/>
    <col min="3" max="3" width="22.6640625" bestFit="1" customWidth="1"/>
    <col min="4" max="4" width="10.44140625" bestFit="1" customWidth="1"/>
    <col min="5" max="5" width="17.77734375" bestFit="1" customWidth="1"/>
    <col min="6" max="6" width="12.6640625" bestFit="1" customWidth="1"/>
    <col min="7" max="7" width="20.21875" bestFit="1" customWidth="1"/>
    <col min="8" max="8" width="12.6640625" bestFit="1" customWidth="1"/>
  </cols>
  <sheetData>
    <row r="1" spans="1:8" ht="16.8" x14ac:dyDescent="0.4">
      <c r="A1" s="37" t="s">
        <v>327</v>
      </c>
      <c r="B1" s="37" t="s">
        <v>0</v>
      </c>
      <c r="C1" s="37" t="s">
        <v>303</v>
      </c>
      <c r="D1" s="37" t="s">
        <v>304</v>
      </c>
      <c r="E1" s="37" t="s">
        <v>305</v>
      </c>
      <c r="F1" s="37" t="s">
        <v>306</v>
      </c>
      <c r="G1" s="37" t="s">
        <v>315</v>
      </c>
      <c r="H1" s="37" t="s">
        <v>316</v>
      </c>
    </row>
    <row r="2" spans="1:8" ht="16.8" x14ac:dyDescent="0.4">
      <c r="A2" s="37" t="s">
        <v>307</v>
      </c>
      <c r="B2" s="37">
        <v>2024</v>
      </c>
      <c r="C2" s="37">
        <v>14</v>
      </c>
      <c r="D2" s="37">
        <v>3863</v>
      </c>
      <c r="E2" s="37">
        <v>1921</v>
      </c>
      <c r="F2" s="37"/>
      <c r="G2" s="38">
        <f>(C2)/C$9</f>
        <v>2.6410111299754765E-3</v>
      </c>
      <c r="H2" s="38">
        <f>D2/D$9</f>
        <v>0.1188067045978779</v>
      </c>
    </row>
    <row r="3" spans="1:8" ht="16.8" x14ac:dyDescent="0.4">
      <c r="A3" s="37" t="s">
        <v>314</v>
      </c>
      <c r="B3" s="37">
        <v>2024</v>
      </c>
      <c r="C3" s="37">
        <v>5</v>
      </c>
      <c r="D3" s="37">
        <v>100</v>
      </c>
      <c r="E3" s="37">
        <v>50</v>
      </c>
      <c r="F3" s="37"/>
      <c r="G3" s="38">
        <f t="shared" ref="G3:G8" si="0">(C3)/C$9</f>
        <v>9.4321826070552727E-4</v>
      </c>
      <c r="H3" s="38">
        <f t="shared" ref="H3:H9" si="1">D3/D$9</f>
        <v>3.0755036137167461E-3</v>
      </c>
    </row>
    <row r="4" spans="1:8" ht="16.8" x14ac:dyDescent="0.4">
      <c r="A4" s="37" t="s">
        <v>308</v>
      </c>
      <c r="B4" s="37">
        <v>2024</v>
      </c>
      <c r="C4" s="37">
        <v>5267</v>
      </c>
      <c r="D4" s="37">
        <v>26304</v>
      </c>
      <c r="E4" s="37"/>
      <c r="F4" s="37"/>
      <c r="G4" s="38">
        <f t="shared" si="0"/>
        <v>0.99358611582720247</v>
      </c>
      <c r="H4" s="38">
        <f t="shared" si="1"/>
        <v>0.80898047055205291</v>
      </c>
    </row>
    <row r="5" spans="1:8" ht="16.8" x14ac:dyDescent="0.4">
      <c r="A5" s="37" t="s">
        <v>309</v>
      </c>
      <c r="B5" s="37">
        <v>2024</v>
      </c>
      <c r="C5" s="37">
        <v>7</v>
      </c>
      <c r="D5" s="37">
        <v>2130</v>
      </c>
      <c r="E5" s="37"/>
      <c r="F5" s="37">
        <v>691</v>
      </c>
      <c r="G5" s="38">
        <f t="shared" si="0"/>
        <v>1.3205055649877383E-3</v>
      </c>
      <c r="H5" s="38">
        <f t="shared" si="1"/>
        <v>6.5508226972166697E-2</v>
      </c>
    </row>
    <row r="6" spans="1:8" ht="16.8" x14ac:dyDescent="0.4">
      <c r="A6" s="37" t="s">
        <v>310</v>
      </c>
      <c r="B6" s="37">
        <v>2024</v>
      </c>
      <c r="C6" s="37">
        <v>0</v>
      </c>
      <c r="D6" s="37">
        <v>0</v>
      </c>
      <c r="E6" s="37"/>
      <c r="F6" s="37"/>
      <c r="G6" s="38">
        <f t="shared" si="0"/>
        <v>0</v>
      </c>
      <c r="H6" s="38">
        <f t="shared" si="1"/>
        <v>0</v>
      </c>
    </row>
    <row r="7" spans="1:8" ht="16.8" x14ac:dyDescent="0.4">
      <c r="A7" s="37" t="s">
        <v>311</v>
      </c>
      <c r="B7" s="37">
        <v>2024</v>
      </c>
      <c r="C7" s="37">
        <v>0</v>
      </c>
      <c r="D7" s="37">
        <v>0</v>
      </c>
      <c r="E7" s="37"/>
      <c r="F7" s="37"/>
      <c r="G7" s="38">
        <f t="shared" si="0"/>
        <v>0</v>
      </c>
      <c r="H7" s="38">
        <f t="shared" si="1"/>
        <v>0</v>
      </c>
    </row>
    <row r="8" spans="1:8" ht="16.8" x14ac:dyDescent="0.4">
      <c r="A8" s="37" t="s">
        <v>312</v>
      </c>
      <c r="B8" s="37">
        <v>2024</v>
      </c>
      <c r="C8" s="37">
        <v>8</v>
      </c>
      <c r="D8" s="37">
        <v>118</v>
      </c>
      <c r="E8" s="37">
        <v>60</v>
      </c>
      <c r="F8" s="37"/>
      <c r="G8" s="38">
        <f t="shared" si="0"/>
        <v>1.5091492171288435E-3</v>
      </c>
      <c r="H8" s="38">
        <f t="shared" si="1"/>
        <v>3.6290942641857603E-3</v>
      </c>
    </row>
    <row r="9" spans="1:8" ht="16.8" x14ac:dyDescent="0.4">
      <c r="A9" s="39" t="s">
        <v>313</v>
      </c>
      <c r="B9" s="37">
        <v>2024</v>
      </c>
      <c r="C9" s="39">
        <v>5301</v>
      </c>
      <c r="D9" s="39">
        <v>32515</v>
      </c>
      <c r="E9" s="39">
        <v>2031</v>
      </c>
      <c r="F9" s="39">
        <v>691</v>
      </c>
      <c r="G9" s="40">
        <v>1</v>
      </c>
      <c r="H9" s="41">
        <f t="shared" si="1"/>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Indicadores</vt:lpstr>
      <vt:lpstr>Turistas</vt:lpstr>
      <vt:lpstr>Alojamientos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Marí</dc:creator>
  <cp:lastModifiedBy>Josep Marí</cp:lastModifiedBy>
  <dcterms:created xsi:type="dcterms:W3CDTF">2025-11-26T13:43:18Z</dcterms:created>
  <dcterms:modified xsi:type="dcterms:W3CDTF">2025-12-14T15:59:10Z</dcterms:modified>
</cp:coreProperties>
</file>